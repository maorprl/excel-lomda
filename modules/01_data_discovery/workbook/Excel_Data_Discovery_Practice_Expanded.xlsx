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0.xml" ContentType="application/vnd.openxmlformats-officedocument.spreadsheetml.table+xml"/>
  <Override PartName="/xl/worksheets/sheet19.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TART_HERE" sheetId="1" state="visible" r:id="rId1"/>
    <sheet xmlns:r="http://schemas.openxmlformats.org/officeDocument/2006/relationships" name="01_DATA_STRUCTURE" sheetId="2" state="visible" r:id="rId2"/>
    <sheet xmlns:r="http://schemas.openxmlformats.org/officeDocument/2006/relationships" name="02_WORKBOOK_MAP" sheetId="3" state="visible" r:id="rId3"/>
    <sheet xmlns:r="http://schemas.openxmlformats.org/officeDocument/2006/relationships" name="02A_SALES_RAW" sheetId="4" state="visible" r:id="rId4"/>
    <sheet xmlns:r="http://schemas.openxmlformats.org/officeDocument/2006/relationships" name="02B_PRODUCTS_REF" sheetId="5" state="visible" r:id="rId5"/>
    <sheet xmlns:r="http://schemas.openxmlformats.org/officeDocument/2006/relationships" name="02C_REPORT_OUTPUT" sheetId="6" state="visible" r:id="rId6"/>
    <sheet xmlns:r="http://schemas.openxmlformats.org/officeDocument/2006/relationships" name="03_TABLES_RANGES" sheetId="7" state="visible" r:id="rId7"/>
    <sheet xmlns:r="http://schemas.openxmlformats.org/officeDocument/2006/relationships" name="04_RELATIONSHIPS" sheetId="8" state="visible" r:id="rId8"/>
    <sheet xmlns:r="http://schemas.openxmlformats.org/officeDocument/2006/relationships" name="05_RAW_DERIVED" sheetId="9" state="visible" r:id="rId9"/>
    <sheet xmlns:r="http://schemas.openxmlformats.org/officeDocument/2006/relationships" name="06_DEFINED_NAMES" sheetId="10" state="visible" r:id="rId10"/>
    <sheet xmlns:r="http://schemas.openxmlformats.org/officeDocument/2006/relationships" name="07_FORMULA_LOGIC" sheetId="11" state="visible" r:id="rId11"/>
    <sheet xmlns:r="http://schemas.openxmlformats.org/officeDocument/2006/relationships" name="08_HIDDEN_DEP" sheetId="12" state="visible" r:id="rId12"/>
    <sheet xmlns:r="http://schemas.openxmlformats.org/officeDocument/2006/relationships" name="08_RATES_REF" sheetId="13" state="hidden" r:id="rId13"/>
    <sheet xmlns:r="http://schemas.openxmlformats.org/officeDocument/2006/relationships" name="09_PIVOT_READING" sheetId="14" state="visible" r:id="rId14"/>
    <sheet xmlns:r="http://schemas.openxmlformats.org/officeDocument/2006/relationships" name="10_EXTERNAL_CLUES" sheetId="15" state="visible" r:id="rId15"/>
    <sheet xmlns:r="http://schemas.openxmlformats.org/officeDocument/2006/relationships" name="11_BUSINESS_TO_DATA" sheetId="16" state="visible" r:id="rId16"/>
    <sheet xmlns:r="http://schemas.openxmlformats.org/officeDocument/2006/relationships" name="12_AMBIGUITY" sheetId="17" state="visible" r:id="rId17"/>
    <sheet xmlns:r="http://schemas.openxmlformats.org/officeDocument/2006/relationships" name="13_DATA_QUALITY" sheetId="18" state="visible" r:id="rId18"/>
    <sheet xmlns:r="http://schemas.openxmlformats.org/officeDocument/2006/relationships" name="14_KEY_INTEGRITY" sheetId="19" state="visible" r:id="rId19"/>
    <sheet xmlns:r="http://schemas.openxmlformats.org/officeDocument/2006/relationships" name="15_FILTERS_HIDDEN" sheetId="20" state="visible" r:id="rId20"/>
    <sheet xmlns:r="http://schemas.openxmlformats.org/officeDocument/2006/relationships" name="16_DATA_TYPES" sheetId="21" state="visible" r:id="rId21"/>
    <sheet xmlns:r="http://schemas.openxmlformats.org/officeDocument/2006/relationships" name="17_WORKBOOK_HEALTH" sheetId="22" state="visible" r:id="rId22"/>
    <sheet xmlns:r="http://schemas.openxmlformats.org/officeDocument/2006/relationships" name="18_VALIDATION" sheetId="23" state="visible" r:id="rId23"/>
    <sheet xmlns:r="http://schemas.openxmlformats.org/officeDocument/2006/relationships" name="19_FULL_DISCOVERY" sheetId="24" state="visible" r:id="rId24"/>
    <sheet xmlns:r="http://schemas.openxmlformats.org/officeDocument/2006/relationships" name="19_FD_ASSUMPTIONS" sheetId="25" state="hidden" r:id="rId25"/>
  </sheets>
  <definedNames>
    <definedName name="Tax_Rate">'06_DEFINED_NAMES'!$B$19</definedName>
    <definedName name="Report_Date">'06_DEFINED_NAMES'!$B$20</definedName>
    <definedName name="Target_Margin">'06_DEFINED_NAMES'!$B$21</definedName>
    <definedName name="Sales_Data">'06_DEFINED_NAMES'!$A$24:$F$29</definedName>
    <definedName name="Review_Threshold">0.80</definedName>
    <definedName name="FD_Review_Target">'19_FULL_DISCOVERY'!$Q$26</definedName>
    <definedName name="_xlnm._FilterDatabase" localSheetId="19" hidden="1">'15_FILTERS_HIDDEN'!$J$17:$Q$24</definedName>
  </definedNames>
  <calcPr calcId="124519" calcMode="auto" fullCalcOnLoad="1" forceFullCalc="1"/>
</workbook>
</file>

<file path=xl/styles.xml><?xml version="1.0" encoding="utf-8"?>
<styleSheet xmlns="http://schemas.openxmlformats.org/spreadsheetml/2006/main">
  <numFmts count="9">
    <numFmt numFmtId="164" formatCode="dd/mm/yyyy"/>
    <numFmt numFmtId="165" formatCode="$#,##0"/>
    <numFmt numFmtId="166" formatCode="$#,##0.00"/>
    <numFmt numFmtId="167" formatCode="0.0%"/>
    <numFmt numFmtId="168" formatCode="€#,##0.00"/>
    <numFmt numFmtId="169" formatCode="0000"/>
    <numFmt numFmtId="170" formatCode="00000"/>
    <numFmt numFmtId="171" formatCode="yyyy-mm-dd h:mm:ss"/>
    <numFmt numFmtId="172" formatCode="yyyy-mm-dd"/>
  </numFmts>
  <fonts count="13">
    <font>
      <name val="Calibri"/>
      <family val="2"/>
      <color theme="1"/>
      <sz val="11"/>
      <scheme val="minor"/>
    </font>
    <font>
      <b val="1"/>
      <color rgb="00FFFFFF"/>
      <sz val="20"/>
    </font>
    <font>
      <b val="1"/>
      <color rgb="00FFFFFF"/>
    </font>
    <font>
      <b val="1"/>
      <color rgb="001F4E78"/>
    </font>
    <font>
      <i val="1"/>
      <color rgb="00666666"/>
    </font>
    <font>
      <b val="1"/>
      <color rgb="00FFFFFF"/>
      <sz val="18"/>
    </font>
    <font>
      <b val="1"/>
      <color rgb="00666666"/>
    </font>
    <font>
      <b val="1"/>
      <color rgb="007030A0"/>
    </font>
    <font>
      <color rgb="00000000"/>
    </font>
    <font>
      <i val="1"/>
      <color rgb="000000FF"/>
    </font>
    <font>
      <color rgb="00008000"/>
    </font>
    <font>
      <color rgb="00666666"/>
    </font>
    <font>
      <i val="1"/>
      <color rgb="00000000"/>
    </font>
  </fonts>
  <fills count="9">
    <fill>
      <patternFill/>
    </fill>
    <fill>
      <patternFill patternType="gray125"/>
    </fill>
    <fill>
      <patternFill patternType="solid">
        <fgColor rgb="0017365D"/>
      </patternFill>
    </fill>
    <fill>
      <patternFill patternType="solid">
        <fgColor rgb="00EAF3F8"/>
      </patternFill>
    </fill>
    <fill>
      <patternFill patternType="solid">
        <fgColor rgb="001F4E78"/>
      </patternFill>
    </fill>
    <fill>
      <patternFill patternType="solid">
        <fgColor rgb="00F2F2F2"/>
      </patternFill>
    </fill>
    <fill>
      <patternFill patternType="solid">
        <fgColor rgb="00D9EAF7"/>
      </patternFill>
    </fill>
    <fill>
      <patternFill patternType="solid">
        <fgColor rgb="00FCE4D6"/>
      </patternFill>
    </fill>
    <fill>
      <patternFill patternType="solid">
        <fgColor rgb="007030A0"/>
      </patternFill>
    </fill>
  </fills>
  <borders count="1">
    <border>
      <left/>
      <right/>
      <top/>
      <bottom/>
      <diagonal/>
    </border>
  </borders>
  <cellStyleXfs count="1">
    <xf numFmtId="0" fontId="0" fillId="0" borderId="0"/>
  </cellStyleXfs>
  <cellXfs count="58">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wrapText="1"/>
    </xf>
    <xf numFmtId="0" fontId="2" fillId="4" borderId="0" pivotButton="0" quotePrefix="0" xfId="0"/>
    <xf numFmtId="0" fontId="3" fillId="0" borderId="0" pivotButton="0" quotePrefix="0" xfId="0"/>
    <xf numFmtId="0" fontId="0" fillId="0" borderId="0" applyAlignment="1" pivotButton="0" quotePrefix="0" xfId="0">
      <alignment wrapText="1"/>
    </xf>
    <xf numFmtId="0" fontId="4" fillId="5" borderId="0" applyAlignment="1" pivotButton="0" quotePrefix="0" xfId="0">
      <alignment wrapText="1"/>
    </xf>
    <xf numFmtId="0" fontId="0" fillId="7" borderId="0" applyAlignment="1" pivotButton="0" quotePrefix="0" xfId="0">
      <alignment vertical="top" wrapText="1"/>
    </xf>
    <xf numFmtId="0" fontId="5" fillId="2" borderId="0" applyAlignment="1" pivotButton="0" quotePrefix="0" xfId="0">
      <alignment vertical="center"/>
    </xf>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6" borderId="0" applyAlignment="1" pivotButton="0" quotePrefix="0" xfId="0">
      <alignment vertical="top" wrapText="1"/>
    </xf>
    <xf numFmtId="0" fontId="2" fillId="4" borderId="0" applyAlignment="1" pivotButton="0" quotePrefix="0" xfId="0">
      <alignment horizontal="center"/>
    </xf>
    <xf numFmtId="0" fontId="10" fillId="0" borderId="0" applyAlignment="1" pivotButton="0" quotePrefix="0" xfId="0">
      <alignment vertical="center"/>
    </xf>
    <xf numFmtId="164" fontId="10" fillId="0" borderId="0" applyAlignment="1" pivotButton="0" quotePrefix="0" xfId="0">
      <alignment vertical="center"/>
    </xf>
    <xf numFmtId="165" fontId="10" fillId="0" borderId="0" applyAlignment="1" pivotButton="0" quotePrefix="0" xfId="0">
      <alignment vertical="center"/>
    </xf>
    <xf numFmtId="0" fontId="5" fillId="2" borderId="0" pivotButton="0" quotePrefix="0" xfId="0"/>
    <xf numFmtId="165" fontId="8" fillId="0" borderId="0" pivotButton="0" quotePrefix="0" xfId="0"/>
    <xf numFmtId="1" fontId="8" fillId="0" borderId="0" pivotButton="0" quotePrefix="0" xfId="0"/>
    <xf numFmtId="9" fontId="10" fillId="0" borderId="0" applyAlignment="1" pivotButton="0" quotePrefix="0" xfId="0">
      <alignment vertical="center"/>
    </xf>
    <xf numFmtId="166" fontId="8" fillId="0" borderId="0" applyAlignment="1" pivotButton="0" quotePrefix="0" xfId="0">
      <alignment vertical="center"/>
    </xf>
    <xf numFmtId="166" fontId="10" fillId="7" borderId="0" applyAlignment="1" pivotButton="0" quotePrefix="0" xfId="0">
      <alignment vertical="center"/>
    </xf>
    <xf numFmtId="0" fontId="2" fillId="8" borderId="0" pivotButton="0" quotePrefix="0" xfId="0"/>
    <xf numFmtId="9" fontId="11" fillId="0" borderId="0" pivotButton="0" quotePrefix="0" xfId="0"/>
    <xf numFmtId="164" fontId="11" fillId="0" borderId="0" pivotButton="0" quotePrefix="0" xfId="0"/>
    <xf numFmtId="166" fontId="8" fillId="0" borderId="0" pivotButton="0" quotePrefix="0" xfId="0"/>
    <xf numFmtId="165" fontId="8" fillId="0" borderId="0" applyAlignment="1" pivotButton="0" quotePrefix="0" xfId="0">
      <alignment vertical="center"/>
    </xf>
    <xf numFmtId="167" fontId="8" fillId="0" borderId="0" pivotButton="0" quotePrefix="0" xfId="0"/>
    <xf numFmtId="168" fontId="10" fillId="0" borderId="0" applyAlignment="1" pivotButton="0" quotePrefix="0" xfId="0">
      <alignment vertical="center"/>
    </xf>
    <xf numFmtId="2" fontId="0" fillId="0" borderId="0" pivotButton="0" quotePrefix="0" xfId="0"/>
    <xf numFmtId="164" fontId="0" fillId="0" borderId="0" pivotButton="0" quotePrefix="0" xfId="0"/>
    <xf numFmtId="0" fontId="8" fillId="0" borderId="0" applyAlignment="1" pivotButton="0" quotePrefix="0" xfId="0">
      <alignment vertical="center"/>
    </xf>
    <xf numFmtId="0" fontId="12" fillId="7" borderId="0" applyAlignment="1" pivotButton="0" quotePrefix="0" xfId="0">
      <alignment wrapText="1"/>
    </xf>
    <xf numFmtId="0" fontId="10" fillId="0" borderId="0" pivotButton="0" quotePrefix="0" xfId="0"/>
    <xf numFmtId="0" fontId="10" fillId="0" borderId="0" applyAlignment="1" pivotButton="0" quotePrefix="0" xfId="0">
      <alignment wrapText="1"/>
    </xf>
    <xf numFmtId="0" fontId="8" fillId="0" borderId="0" pivotButton="0" quotePrefix="0" xfId="0"/>
    <xf numFmtId="9" fontId="8" fillId="0" borderId="0" pivotButton="0" quotePrefix="0" xfId="0"/>
    <xf numFmtId="0" fontId="11" fillId="0" borderId="0" pivotButton="0" quotePrefix="0" xfId="0"/>
    <xf numFmtId="9" fontId="0" fillId="0" borderId="0" pivotButton="0" quotePrefix="0" xfId="0"/>
    <xf numFmtId="164" fontId="10" fillId="0" borderId="0" applyAlignment="1" pivotButton="0" quotePrefix="0" xfId="0">
      <alignment vertical="center"/>
    </xf>
    <xf numFmtId="165" fontId="10" fillId="0" borderId="0" applyAlignment="1" pivotButton="0" quotePrefix="0" xfId="0">
      <alignment vertical="center"/>
    </xf>
    <xf numFmtId="165" fontId="8" fillId="0" borderId="0" pivotButton="0" quotePrefix="0" xfId="0"/>
    <xf numFmtId="166" fontId="8" fillId="0" borderId="0" applyAlignment="1" pivotButton="0" quotePrefix="0" xfId="0">
      <alignment vertical="center"/>
    </xf>
    <xf numFmtId="166" fontId="10" fillId="7" borderId="0" applyAlignment="1" pivotButton="0" quotePrefix="0" xfId="0">
      <alignment vertical="center"/>
    </xf>
    <xf numFmtId="164" fontId="11" fillId="0" borderId="0" pivotButton="0" quotePrefix="0" xfId="0"/>
    <xf numFmtId="166" fontId="8" fillId="0" borderId="0" pivotButton="0" quotePrefix="0" xfId="0"/>
    <xf numFmtId="165" fontId="8" fillId="0" borderId="0" applyAlignment="1" pivotButton="0" quotePrefix="0" xfId="0">
      <alignment vertical="center"/>
    </xf>
    <xf numFmtId="167" fontId="8" fillId="0" borderId="0" pivotButton="0" quotePrefix="0" xfId="0"/>
    <xf numFmtId="168" fontId="10" fillId="0" borderId="0" applyAlignment="1" pivotButton="0" quotePrefix="0" xfId="0">
      <alignment vertical="center"/>
    </xf>
    <xf numFmtId="164" fontId="0" fillId="0" borderId="0" pivotButton="0" quotePrefix="0" xfId="0"/>
    <xf numFmtId="0" fontId="0" fillId="0" borderId="0" applyAlignment="1" pivotButton="0" quotePrefix="0" xfId="0">
      <alignment vertical="top" wrapText="1"/>
    </xf>
    <xf numFmtId="164" fontId="10" fillId="0" borderId="0" pivotButton="0" quotePrefix="0" xfId="0"/>
    <xf numFmtId="165" fontId="10" fillId="0" borderId="0" pivotButton="0" quotePrefix="0" xfId="0"/>
    <xf numFmtId="0" fontId="7" fillId="0" borderId="0" applyAlignment="1" pivotButton="0" quotePrefix="0" xfId="0">
      <alignment vertical="center" wrapText="1"/>
    </xf>
    <xf numFmtId="169" fontId="10" fillId="0" borderId="0" applyAlignment="1" pivotButton="0" quotePrefix="0" xfId="0">
      <alignment vertical="center"/>
    </xf>
    <xf numFmtId="170" fontId="10" fillId="0" borderId="0" applyAlignment="1" pivotButton="0" quotePrefix="0" xfId="0">
      <alignment vertical="center"/>
    </xf>
    <xf numFmtId="172" fontId="1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tbl_Sales_Raw_02" displayName="tbl_Sales_Raw_02" ref="A1:G7" headerRowCount="1">
  <autoFilter ref="A1:G7"/>
  <tableColumns count="7">
    <tableColumn id="1" name="Order_ID"/>
    <tableColumn id="2" name="Date"/>
    <tableColumn id="3" name="Customer_ID"/>
    <tableColumn id="4" name="Product_ID"/>
    <tableColumn id="5" name="Region"/>
    <tableColumn id="6" name="Units"/>
    <tableColumn id="7" name="Revenue"/>
  </tableColumns>
  <tableStyleInfo name="TableStyleMedium4" showFirstColumn="0" showLastColumn="0" showRowStripes="1" showColumnStripes="0"/>
</table>
</file>

<file path=xl/tables/table2.xml><?xml version="1.0" encoding="utf-8"?>
<table xmlns="http://schemas.openxmlformats.org/spreadsheetml/2006/main" id="2" name="tbl_Products_02" displayName="tbl_Products_02" ref="A1:D5" headerRowCount="1">
  <autoFilter ref="A1:D5"/>
  <tableColumns count="4">
    <tableColumn id="1" name="Product_ID"/>
    <tableColumn id="2" name="Product"/>
    <tableColumn id="3" name="Category"/>
    <tableColumn id="4" name="Standard_Price"/>
  </tableColumns>
  <tableStyleInfo name="TableStyleMedium4" showFirstColumn="0" showLastColumn="0" showRowStripes="1" showColumnStripes="0"/>
</table>
</file>

<file path=xl/tables/table3.xml><?xml version="1.0" encoding="utf-8"?>
<table xmlns="http://schemas.openxmlformats.org/spreadsheetml/2006/main" id="3" name="tbl_Sales_03" displayName="tbl_Sales_03" ref="A16:E21" headerRowCount="1">
  <autoFilter ref="A16:E21"/>
  <tableColumns count="5">
    <tableColumn id="1" name="Sale_ID"/>
    <tableColumn id="2" name="Date"/>
    <tableColumn id="3" name="Region"/>
    <tableColumn id="4" name="Units"/>
    <tableColumn id="5" name="Revenue"/>
  </tableColumns>
  <tableStyleInfo name="TableStyleMedium2" showFirstColumn="0" showLastColumn="0" showRowStripes="1" showColumnStripes="0"/>
</table>
</file>

<file path=xl/tables/table4.xml><?xml version="1.0" encoding="utf-8"?>
<table xmlns="http://schemas.openxmlformats.org/spreadsheetml/2006/main" id="4" name="tbl_Sales_04" displayName="tbl_Sales_04" ref="A16:G21" headerRowCount="1">
  <autoFilter ref="A16:G21"/>
  <tableColumns count="7">
    <tableColumn id="1" name="Line_ID"/>
    <tableColumn id="2" name="Order_ID"/>
    <tableColumn id="3" name="Customer_ID"/>
    <tableColumn id="4" name="Product_ID"/>
    <tableColumn id="5" name="Date"/>
    <tableColumn id="6" name="Units"/>
    <tableColumn id="7" name="Revenue"/>
  </tableColumns>
  <tableStyleInfo name="TableStyleMedium4" showFirstColumn="0" showLastColumn="0" showRowStripes="1" showColumnStripes="0"/>
</table>
</file>

<file path=xl/tables/table5.xml><?xml version="1.0" encoding="utf-8"?>
<table xmlns="http://schemas.openxmlformats.org/spreadsheetml/2006/main" id="5" name="tbl_Products_04" displayName="tbl_Products_04" ref="I16:L20" headerRowCount="1">
  <autoFilter ref="I16:L20"/>
  <tableColumns count="4">
    <tableColumn id="9" name="Product_ID"/>
    <tableColumn id="10" name="Product"/>
    <tableColumn id="11" name="Category"/>
    <tableColumn id="12" name="Standard_Price"/>
  </tableColumns>
  <tableStyleInfo name="TableStyleMedium4" showFirstColumn="0" showLastColumn="0" showRowStripes="1" showColumnStripes="0"/>
</table>
</file>

<file path=xl/tables/table6.xml><?xml version="1.0" encoding="utf-8"?>
<table xmlns="http://schemas.openxmlformats.org/spreadsheetml/2006/main" id="6" name="tbl_Customers_04" displayName="tbl_Customers_04" ref="N16:P19" headerRowCount="1">
  <autoFilter ref="N16:P19"/>
  <tableColumns count="3">
    <tableColumn id="14" name="Customer_ID"/>
    <tableColumn id="15" name="Customer_Name"/>
    <tableColumn id="16" name="Segment"/>
  </tableColumns>
  <tableStyleInfo name="TableStyleMedium4" showFirstColumn="0" showLastColumn="0" showRowStripes="1" showColumnStripes="0"/>
</table>
</file>

<file path=xl/tables/table7.xml><?xml version="1.0" encoding="utf-8"?>
<table xmlns="http://schemas.openxmlformats.org/spreadsheetml/2006/main" id="7" name="tbl_OrderLines_05" displayName="tbl_OrderLines_05" ref="A16:I22" headerRowCount="1">
  <autoFilter ref="A16:I22"/>
  <tableColumns count="9">
    <tableColumn id="1" name="Line_ID"/>
    <tableColumn id="2" name="Order_ID"/>
    <tableColumn id="3" name="Product"/>
    <tableColumn id="4" name="Region"/>
    <tableColumn id="5" name="Units"/>
    <tableColumn id="6" name="Unit_Price"/>
    <tableColumn id="7" name="Discount"/>
    <tableColumn id="8" name="Gross_Revenue"/>
    <tableColumn id="9" name="Net_Revenue"/>
  </tableColumns>
  <tableStyleInfo name="TableStyleMedium2" showFirstColumn="0" showLastColumn="0" showRowStripes="1" showColumnStripes="0"/>
</table>
</file>

<file path=xl/tables/table8.xml><?xml version="1.0" encoding="utf-8"?>
<table xmlns="http://schemas.openxmlformats.org/spreadsheetml/2006/main" id="8" name="tbl_Logic_07" displayName="tbl_Logic_07" ref="A16:H21" headerRowCount="1">
  <autoFilter ref="A16:H21"/>
  <tableColumns count="8">
    <tableColumn id="1" name="Order_ID"/>
    <tableColumn id="2" name="Region"/>
    <tableColumn id="3" name="Product"/>
    <tableColumn id="4" name="Units"/>
    <tableColumn id="5" name="Unit_Price"/>
    <tableColumn id="6" name="Unit_Cost"/>
    <tableColumn id="7" name="Gross_Sales"/>
    <tableColumn id="8" name="Gross_Cost"/>
  </tableColumns>
  <tableStyleInfo name="TableStyleMedium2" showFirstColumn="0" showLastColumn="0" showRowStripes="1" showColumnStripes="0"/>
</table>
</file>

<file path=xl/tables/table9.xml><?xml version="1.0" encoding="utf-8"?>
<table xmlns="http://schemas.openxmlformats.org/spreadsheetml/2006/main" id="9" name="tbl_PivotSource_09" displayName="tbl_PivotSource_09" ref="A16:E22" headerRowCount="1">
  <autoFilter ref="A16:E22"/>
  <tableColumns count="5">
    <tableColumn id="1" name="Order_ID"/>
    <tableColumn id="2" name="Date"/>
    <tableColumn id="3" name="Region"/>
    <tableColumn id="4" name="Product"/>
    <tableColumn id="5" name="Revenue"/>
  </tableColumns>
  <tableStyleInfo name="TableStyleMedium2" showFirstColumn="0" showLastColumn="0" showRowStripes="1" showColumnStripes="0"/>
</table>
</file>

<file path=xl/tables/table10.xml><?xml version="1.0" encoding="utf-8"?>
<table xmlns="http://schemas.openxmlformats.org/spreadsheetml/2006/main" id="10" name="tbl_DataQuality_13" displayName="tbl_DataQuality_13" ref="A17:H25" headerRowCount="1">
  <autoFilter ref="A17:H25"/>
  <tableColumns count="8">
    <tableColumn id="1" name="Transaction_ID"/>
    <tableColumn id="2" name="Date"/>
    <tableColumn id="3" name="Customer_ID"/>
    <tableColumn id="4" name="Product_ID"/>
    <tableColumn id="5" name="Category"/>
    <tableColumn id="6" name="Region"/>
    <tableColumn id="7" name="Units"/>
    <tableColumn id="8" name="Unit_Price"/>
  </tableColumns>
  <tableStyleInfo name="TableStyleMedium2" showFirstColumn="0" showLastColumn="0" showRowStripes="1" showColumnStripes="0"/>
</table>
</file>

<file path=xl/tables/table11.xml><?xml version="1.0" encoding="utf-8"?>
<table xmlns="http://schemas.openxmlformats.org/spreadsheetml/2006/main" id="11" name="tbl_Sales_14" displayName="tbl_Sales_14" ref="A17:G23" headerRowCount="1">
  <autoFilter ref="A17:G23"/>
  <tableColumns count="7">
    <tableColumn id="1" name="Line_ID"/>
    <tableColumn id="2" name="Order_ID"/>
    <tableColumn id="3" name="Customer_ID"/>
    <tableColumn id="4" name="Product_ID"/>
    <tableColumn id="5" name="Date"/>
    <tableColumn id="6" name="Units"/>
    <tableColumn id="7" name="Revenue"/>
  </tableColumns>
  <tableStyleInfo name="TableStyleMedium4" showFirstColumn="0" showLastColumn="0" showRowStripes="1" showColumnStripes="0"/>
</table>
</file>

<file path=xl/tables/table12.xml><?xml version="1.0" encoding="utf-8"?>
<table xmlns="http://schemas.openxmlformats.org/spreadsheetml/2006/main" id="12" name="tbl_Products_14" displayName="tbl_Products_14" ref="I17:L22" headerRowCount="1">
  <autoFilter ref="I17:L22"/>
  <tableColumns count="4">
    <tableColumn id="9" name="Product_ID"/>
    <tableColumn id="10" name="Product"/>
    <tableColumn id="11" name="Category"/>
    <tableColumn id="12" name="Standard_Price"/>
  </tableColumns>
  <tableStyleInfo name="TableStyleMedium4" showFirstColumn="0" showLastColumn="0" showRowStripes="1" showColumnStripes="0"/>
</table>
</file>

<file path=xl/tables/table13.xml><?xml version="1.0" encoding="utf-8"?>
<table xmlns="http://schemas.openxmlformats.org/spreadsheetml/2006/main" id="13" name="tbl_Customers_14" displayName="tbl_Customers_14" ref="N17:P22" headerRowCount="1">
  <autoFilter ref="N17:P22"/>
  <tableColumns count="3">
    <tableColumn id="14" name="Customer_ID"/>
    <tableColumn id="15" name="Customer_Name"/>
    <tableColumn id="16" name="Segment"/>
  </tableColumns>
  <tableStyleInfo name="TableStyleMedium4" showFirstColumn="0" showLastColumn="0" showRowStripes="1" showColumnStripes="0"/>
</table>
</file>

<file path=xl/tables/table14.xml><?xml version="1.0" encoding="utf-8"?>
<table xmlns="http://schemas.openxmlformats.org/spreadsheetml/2006/main" id="14" name="tbl_DataTypes_16" displayName="tbl_DataTypes_16" ref="A17:H22" headerRowCount="1">
  <autoFilter ref="A17:H22"/>
  <tableColumns count="8">
    <tableColumn id="1" name="Record_ID"/>
    <tableColumn id="2" name="Date_Value"/>
    <tableColumn id="3" name="Revenue_Value"/>
    <tableColumn id="4" name="Discount"/>
    <tableColumn id="5" name="Product_Code"/>
    <tableColumn id="6" name="Units"/>
    <tableColumn id="7" name="Flag"/>
    <tableColumn id="8" name="Notes"/>
  </tableColumns>
  <tableStyleInfo name="TableStyleMedium2" showFirstColumn="0" showLastColumn="0" showRowStripes="1" showColumnStripes="0"/>
</table>
</file>

<file path=xl/tables/table15.xml><?xml version="1.0" encoding="utf-8"?>
<table xmlns="http://schemas.openxmlformats.org/spreadsheetml/2006/main" id="15" name="tbl_HealthSource_17" displayName="tbl_HealthSource_17" ref="A17:D22" headerRowCount="1">
  <autoFilter ref="A17:D22"/>
  <tableColumns count="4">
    <tableColumn id="1" name="Date"/>
    <tableColumn id="2" name="Order_ID"/>
    <tableColumn id="3" name="Revenue"/>
    <tableColumn id="4" name="Status"/>
  </tableColumns>
  <tableStyleInfo name="TableStyleMedium2" showFirstColumn="0" showLastColumn="0" showRowStripes="1" showColumnStripes="0"/>
</table>
</file>

<file path=xl/tables/table16.xml><?xml version="1.0" encoding="utf-8"?>
<table xmlns="http://schemas.openxmlformats.org/spreadsheetml/2006/main" id="16" name="tbl_ValidationSales_18" displayName="tbl_ValidationSales_18" ref="A17:G24" headerRowCount="1">
  <autoFilter ref="A17:G24"/>
  <tableColumns count="7">
    <tableColumn id="1" name="Line_ID"/>
    <tableColumn id="2" name="Order_ID"/>
    <tableColumn id="3" name="Category"/>
    <tableColumn id="4" name="Region"/>
    <tableColumn id="5" name="Units"/>
    <tableColumn id="6" name="Unit_Price"/>
    <tableColumn id="7" name="Revenue"/>
  </tableColumns>
  <tableStyleInfo name="TableStyleMedium2" showFirstColumn="0" showLastColumn="0" showRowStripes="1" showColumnStripes="0"/>
</table>
</file>

<file path=xl/tables/table17.xml><?xml version="1.0" encoding="utf-8"?>
<table xmlns="http://schemas.openxmlformats.org/spreadsheetml/2006/main" id="17" name="tbl_FullSales_19" displayName="tbl_FullSales_19" ref="A21:J27" headerRowCount="1">
  <autoFilter ref="A21:J27"/>
  <tableColumns count="10">
    <tableColumn id="1" name="Line_ID"/>
    <tableColumn id="2" name="Order_ID"/>
    <tableColumn id="3" name="Date"/>
    <tableColumn id="4" name="Customer_ID"/>
    <tableColumn id="5" name="Product_ID"/>
    <tableColumn id="6" name="Region"/>
    <tableColumn id="7" name="Units"/>
    <tableColumn id="8" name="Unit_Price"/>
    <tableColumn id="9" name="Net_Revenue"/>
    <tableColumn id="10" name="Source_System"/>
  </tableColumns>
  <tableStyleInfo name="TableStyleMedium2" showFirstColumn="0" showLastColumn="0" showRowStripes="1" showColumnStripes="0"/>
</table>
</file>

<file path=xl/tables/table18.xml><?xml version="1.0" encoding="utf-8"?>
<table xmlns="http://schemas.openxmlformats.org/spreadsheetml/2006/main" id="18" name="tbl_FullProducts_19" displayName="tbl_FullProducts_19" ref="K21:N26" headerRowCount="1">
  <autoFilter ref="K21:N26"/>
  <tableColumns count="4">
    <tableColumn id="11" name="Product_ID"/>
    <tableColumn id="12" name="Product"/>
    <tableColumn id="13" name="Category"/>
    <tableColumn id="14" name="Unit_Cos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8.xml.rels><Relationships xmlns="http://schemas.openxmlformats.org/package/2006/relationships"><Relationship Type="http://schemas.openxmlformats.org/officeDocument/2006/relationships/table" Target="/xl/tables/table10.xml" Id="rId1"/></Relationships>
</file>

<file path=xl/worksheets/_rels/sheet19.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s>
</file>

<file path=xl/worksheets/_rels/sheet21.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4.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s>
</file>

<file path=xl/worksheets/sheet1.xml><?xml version="1.0" encoding="utf-8"?>
<worksheet xmlns="http://schemas.openxmlformats.org/spreadsheetml/2006/main">
  <sheetPr>
    <tabColor rgb="00808080"/>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2" customHeight="1">
      <c r="A1" s="1" t="inlineStr">
        <is>
          <t>Excel Workbook &amp; Data Discovery — Practice Workbook</t>
        </is>
      </c>
    </row>
    <row r="3">
      <c r="A3" s="2" t="inlineStr">
        <is>
          <t>Purpose: practice how to inspect an unfamiliar Excel workbook before cleaning, calculating, or analyzing it. Each EXERCISE sheet gives you a scenario, concrete questions, and space to answer. No solutions are included in this file.</t>
        </is>
      </c>
    </row>
    <row r="4"/>
    <row r="6">
      <c r="A6" s="3" t="inlineStr">
        <is>
          <t>Recommended order</t>
        </is>
      </c>
    </row>
    <row r="7">
      <c r="A7" s="4" t="inlineStr">
        <is>
          <t>01_DATA_STRUCTURE</t>
        </is>
      </c>
      <c r="B7" t="inlineStr">
        <is>
          <t>Grain, identifiers, measures, dimensions</t>
        </is>
      </c>
    </row>
    <row r="8">
      <c r="A8" s="4" t="inlineStr">
        <is>
          <t>02_WORKBOOK_MAP</t>
        </is>
      </c>
      <c r="B8" t="inlineStr">
        <is>
          <t>Understand the role of multiple worksheets</t>
        </is>
      </c>
    </row>
    <row r="9">
      <c r="A9" s="4" t="inlineStr">
        <is>
          <t>03_TABLES_RANGES</t>
        </is>
      </c>
      <c r="B9" t="inlineStr">
        <is>
          <t>Recognize Excel Tables vs ordinary ranges</t>
        </is>
      </c>
    </row>
    <row r="10">
      <c r="A10" s="4" t="inlineStr">
        <is>
          <t>04_RELATIONSHIPS</t>
        </is>
      </c>
      <c r="B10" t="inlineStr">
        <is>
          <t>Identify keys and one-to-many relationships</t>
        </is>
      </c>
    </row>
    <row r="11">
      <c r="A11" s="4" t="inlineStr">
        <is>
          <t>05_RAW_DERIVED</t>
        </is>
      </c>
      <c r="B11" t="inlineStr">
        <is>
          <t>Distinguish source fields from calculated fields</t>
        </is>
      </c>
    </row>
    <row r="12">
      <c r="A12" s="4" t="inlineStr">
        <is>
          <t>06_DEFINED_NAMES</t>
        </is>
      </c>
      <c r="B12" t="inlineStr">
        <is>
          <t>Inspect Name Box / Name Manager objects</t>
        </is>
      </c>
    </row>
    <row r="13">
      <c r="A13" s="4" t="inlineStr">
        <is>
          <t>07_FORMULA_LOGIC</t>
        </is>
      </c>
      <c r="B13" t="inlineStr">
        <is>
          <t>Understand existing formula logic and dependencies</t>
        </is>
      </c>
    </row>
    <row r="14">
      <c r="A14" s="4" t="inlineStr">
        <is>
          <t>08_HIDDEN_DEP</t>
        </is>
      </c>
      <c r="B14" t="inlineStr">
        <is>
          <t>Find a hidden dependency used by formulas</t>
        </is>
      </c>
    </row>
    <row r="15">
      <c r="A15" s="4" t="inlineStr">
        <is>
          <t>09_PIVOT_READING</t>
        </is>
      </c>
      <c r="B15" t="inlineStr">
        <is>
          <t>Read Pivot logic and know what to inspect in a real PivotTable</t>
        </is>
      </c>
    </row>
    <row r="16">
      <c r="A16" s="4" t="inlineStr">
        <is>
          <t>10_EXTERNAL_CLUES</t>
        </is>
      </c>
      <c r="B16" t="inlineStr">
        <is>
          <t>Recognize external / query / connection clues safely</t>
        </is>
      </c>
    </row>
    <row r="17">
      <c r="A17" s="4" t="inlineStr">
        <is>
          <t>11_BUSINESS_TO_DATA</t>
        </is>
      </c>
      <c r="B17" t="inlineStr">
        <is>
          <t>Translate business questions into data requirements</t>
        </is>
      </c>
    </row>
    <row r="18">
      <c r="A18" s="4" t="inlineStr">
        <is>
          <t>12_AMBIGUITY</t>
        </is>
      </c>
      <c r="B18" t="inlineStr">
        <is>
          <t>Identify missing information and ambiguous requests</t>
        </is>
      </c>
    </row>
    <row r="19">
      <c r="A19" s="4" t="inlineStr">
        <is>
          <t>13_DATA_QUALITY</t>
        </is>
      </c>
      <c r="B19" t="inlineStr">
        <is>
          <t>Quick-scan blanks, duplicates, types, and inconsistent labels</t>
        </is>
      </c>
    </row>
    <row r="20">
      <c r="A20" s="4" t="inlineStr">
        <is>
          <t>14_KEY_INTEGRITY</t>
        </is>
      </c>
      <c r="B20" t="inlineStr">
        <is>
          <t>Validate uniqueness, missing matches, and blank join keys</t>
        </is>
      </c>
    </row>
    <row r="21">
      <c r="A21" s="4" t="inlineStr">
        <is>
          <t>15_FILTERS_HIDDEN</t>
        </is>
      </c>
      <c r="B21" t="inlineStr">
        <is>
          <t>Inspect active filters, hidden rows, and hidden columns</t>
        </is>
      </c>
    </row>
    <row r="22">
      <c r="A22" s="4" t="inlineStr">
        <is>
          <t>16_DATA_TYPES</t>
        </is>
      </c>
      <c r="B22" t="inlineStr">
        <is>
          <t>Distinguish underlying data types from display formats</t>
        </is>
      </c>
    </row>
    <row r="23">
      <c r="A23" s="4" t="inlineStr">
        <is>
          <t>17_WORKBOOK_HEALTH</t>
        </is>
      </c>
      <c r="B23" t="inlineStr">
        <is>
          <t>Check source coverage, stale clues, and calculation/model health</t>
        </is>
      </c>
    </row>
    <row r="24">
      <c r="A24" s="4" t="inlineStr">
        <is>
          <t>18_VALIDATION</t>
        </is>
      </c>
      <c r="B24" t="inlineStr">
        <is>
          <t>Reconcile outputs back to source and test repeatability</t>
        </is>
      </c>
    </row>
    <row r="25">
      <c r="A25" s="4" t="inlineStr">
        <is>
          <t>19_FULL_DISCOVERY</t>
        </is>
      </c>
      <c r="B25" t="inlineStr">
        <is>
          <t>Combine discovery, quality, key, visibility, dependency, and validation skills</t>
        </is>
      </c>
    </row>
    <row r="26" ht="24" customHeight="1"/>
    <row r="27">
      <c r="A27" s="3" t="inlineStr">
        <is>
          <t>How to use this workbook</t>
        </is>
      </c>
    </row>
    <row r="28">
      <c r="A28" s="5" t="inlineStr">
        <is>
          <t>1. Do the exercises in order. Do not search for an answer key — there is none in this file.</t>
        </is>
      </c>
    </row>
    <row r="29">
      <c r="A29" s="5" t="inlineStr">
        <is>
          <t>2. For each exercise, inspect the workbook using Excel itself. Write your reasoning in the blue answer cells.</t>
        </is>
      </c>
    </row>
    <row r="30">
      <c r="A30" s="5" t="inlineStr">
        <is>
          <t>3. Do not modify source data unless the task explicitly tells you to. Discovery is about understanding first.</t>
        </is>
      </c>
    </row>
    <row r="31">
      <c r="A31" s="5" t="inlineStr">
        <is>
          <t>4. When you finish an exercise, share the workbook or your answers for review before moving to the next one.</t>
        </is>
      </c>
    </row>
    <row r="32">
      <c r="A32" s="5" t="inlineStr">
        <is>
          <t>5. Later modules will go deeper into cleaning, formulas, lookups, aggregation, PivotTables, Power Query, visualization, and business analysis.</t>
        </is>
      </c>
    </row>
    <row r="33"/>
    <row r="34"/>
    <row r="35">
      <c r="A35" s="6" t="inlineStr">
        <is>
          <t>Color convention: blue answer cells = your input; green text = source/imported data; black text = formulas/derived; orange = caution/review; purple = logic/control.</t>
        </is>
      </c>
    </row>
    <row r="36"/>
    <row r="37"/>
    <row r="38">
      <c r="A38" s="7" t="inlineStr">
        <is>
          <t>Support sheets 02A–02C belong to Exercise 02. Hidden sheets are intentional discovery objects for Exercises 08 and 19; Exercise 15 contains hidden/filter state on the exercise sheet itself. Exercise 09 is a portable PivotTable-reading simulation, and Exercise 10 uses portable connection evidence rather than a live external source. Exercise 17 uses portable workbook-health clues rather than intentionally embedding broken formulas or changing global calculation settings.</t>
        </is>
      </c>
    </row>
    <row r="39"/>
    <row r="40"/>
  </sheetData>
  <mergeCells count="28">
    <mergeCell ref="A30:H30"/>
    <mergeCell ref="A3:H4"/>
    <mergeCell ref="B14:G14"/>
    <mergeCell ref="B17:G17"/>
    <mergeCell ref="B23:G23"/>
    <mergeCell ref="B8:G8"/>
    <mergeCell ref="B13:G13"/>
    <mergeCell ref="A1:H1"/>
    <mergeCell ref="B19:G19"/>
    <mergeCell ref="B10:G10"/>
    <mergeCell ref="B9:G9"/>
    <mergeCell ref="A35:H36"/>
    <mergeCell ref="B15:G15"/>
    <mergeCell ref="B24:G24"/>
    <mergeCell ref="B20:G20"/>
    <mergeCell ref="A32:H32"/>
    <mergeCell ref="B7:G7"/>
    <mergeCell ref="B25:G25"/>
    <mergeCell ref="B16:G16"/>
    <mergeCell ref="A29:H29"/>
    <mergeCell ref="B22:G22"/>
    <mergeCell ref="A28:H28"/>
    <mergeCell ref="A38:H40"/>
    <mergeCell ref="B18:G18"/>
    <mergeCell ref="B12:G12"/>
    <mergeCell ref="B21:G21"/>
    <mergeCell ref="A31:H31"/>
    <mergeCell ref="B11:G11"/>
  </mergeCells>
  <pageMargins left="0.75" right="0.75" top="1" bottom="1" header="0.5" footer="0.5"/>
</worksheet>
</file>

<file path=xl/worksheets/sheet2.xml><?xml version="1.0" encoding="utf-8"?>
<worksheet xmlns="http://schemas.openxmlformats.org/spreadsheetml/2006/main">
  <sheetPr>
    <tabColor rgb="005B9BD5"/>
    <outlinePr summaryBelow="1" summaryRight="1"/>
    <pageSetUpPr fitToPage="1"/>
  </sheetPr>
  <dimension ref="A1:H21"/>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01 — Data Structure</t>
        </is>
      </c>
    </row>
    <row r="2">
      <c r="A2" s="9" t="inlineStr">
        <is>
          <t>Capability</t>
        </is>
      </c>
      <c r="B2" s="54" t="inlineStr">
        <is>
          <t>Grain, Identifier, Measures, Dimensions</t>
        </is>
      </c>
    </row>
    <row r="3">
      <c r="A3" s="9" t="inlineStr">
        <is>
          <t>Difficulty</t>
        </is>
      </c>
      <c r="B3" s="9" t="inlineStr">
        <is>
          <t>Foundation</t>
        </is>
      </c>
    </row>
    <row r="5">
      <c r="A5" s="3" t="inlineStr">
        <is>
          <t>Scenario</t>
        </is>
      </c>
      <c r="B5" s="2" t="inlineStr">
        <is>
          <t>You receive a single transaction table. Do not calculate anything yet. Your job is to understand what the dataset represents before choosing any Excel function.</t>
        </is>
      </c>
    </row>
    <row r="6"/>
    <row r="8">
      <c r="A8" s="3" t="inlineStr">
        <is>
          <t>Your task</t>
        </is>
      </c>
    </row>
    <row r="9" ht="34" customHeight="1">
      <c r="A9" s="11" t="inlineStr">
        <is>
          <t>1. What does one row represent (the grain)?</t>
        </is>
      </c>
      <c r="E9" s="12" t="inlineStr">
        <is>
          <t>Type your answer here</t>
        </is>
      </c>
    </row>
    <row r="10" ht="34" customHeight="1">
      <c r="A10" s="11" t="inlineStr">
        <is>
          <t>2. Which field is the strongest row-level identifier?</t>
        </is>
      </c>
      <c r="E10" s="12" t="inlineStr">
        <is>
          <t>Type your answer here</t>
        </is>
      </c>
    </row>
    <row r="11" ht="34" customHeight="1">
      <c r="A11" s="11" t="inlineStr">
        <is>
          <t>3. Which measures already exist in the table?</t>
        </is>
      </c>
      <c r="E11" s="12" t="inlineStr">
        <is>
          <t>Type your answer here</t>
        </is>
      </c>
    </row>
    <row r="12" ht="34" customHeight="1">
      <c r="A12" s="11" t="inlineStr">
        <is>
          <t>4. Which dimensions could be used to group or filter the data?</t>
        </is>
      </c>
      <c r="E12" s="12" t="inlineStr">
        <is>
          <t>Type your answer here</t>
        </is>
      </c>
    </row>
    <row r="13" ht="34" customHeight="1">
      <c r="A13" s="11" t="inlineStr">
        <is>
          <t>5. For the question “Which product generated the highest revenue?”, which fields are required, and is a new metric needed?</t>
        </is>
      </c>
      <c r="E13" s="12" t="inlineStr">
        <is>
          <t>Type your answer here</t>
        </is>
      </c>
    </row>
    <row r="16">
      <c r="A16" s="13" t="inlineStr">
        <is>
          <t>Transaction_ID</t>
        </is>
      </c>
      <c r="B16" s="13" t="inlineStr">
        <is>
          <t>Date</t>
        </is>
      </c>
      <c r="C16" s="13" t="inlineStr">
        <is>
          <t>Customer_ID</t>
        </is>
      </c>
      <c r="D16" s="13" t="inlineStr">
        <is>
          <t>Product</t>
        </is>
      </c>
      <c r="E16" s="13" t="inlineStr">
        <is>
          <t>Category</t>
        </is>
      </c>
      <c r="F16" s="13" t="inlineStr">
        <is>
          <t>Region</t>
        </is>
      </c>
      <c r="G16" s="13" t="inlineStr">
        <is>
          <t>Units</t>
        </is>
      </c>
      <c r="H16" s="13" t="inlineStr">
        <is>
          <t>Unit_Price</t>
        </is>
      </c>
    </row>
    <row r="17">
      <c r="A17" s="14" t="inlineStr">
        <is>
          <t>T001</t>
        </is>
      </c>
      <c r="B17" s="40" t="n">
        <v>46204</v>
      </c>
      <c r="C17" s="14" t="inlineStr">
        <is>
          <t>C101</t>
        </is>
      </c>
      <c r="D17" s="14" t="inlineStr">
        <is>
          <t>Laptop Pro</t>
        </is>
      </c>
      <c r="E17" s="14" t="inlineStr">
        <is>
          <t>Computers</t>
        </is>
      </c>
      <c r="F17" s="14" t="inlineStr">
        <is>
          <t>North</t>
        </is>
      </c>
      <c r="G17" s="14" t="n">
        <v>1</v>
      </c>
      <c r="H17" s="41" t="n">
        <v>1200</v>
      </c>
    </row>
    <row r="18">
      <c r="A18" s="14" t="inlineStr">
        <is>
          <t>T002</t>
        </is>
      </c>
      <c r="B18" s="40" t="n">
        <v>46204</v>
      </c>
      <c r="C18" s="14" t="inlineStr">
        <is>
          <t>C102</t>
        </is>
      </c>
      <c r="D18" s="14" t="inlineStr">
        <is>
          <t>Mouse X</t>
        </is>
      </c>
      <c r="E18" s="14" t="inlineStr">
        <is>
          <t>Accessories</t>
        </is>
      </c>
      <c r="F18" s="14" t="inlineStr">
        <is>
          <t>South</t>
        </is>
      </c>
      <c r="G18" s="14" t="n">
        <v>3</v>
      </c>
      <c r="H18" s="41" t="n">
        <v>30</v>
      </c>
    </row>
    <row r="19">
      <c r="A19" s="14" t="inlineStr">
        <is>
          <t>T003</t>
        </is>
      </c>
      <c r="B19" s="40" t="n">
        <v>46205</v>
      </c>
      <c r="C19" s="14" t="inlineStr">
        <is>
          <t>C101</t>
        </is>
      </c>
      <c r="D19" s="14" t="inlineStr">
        <is>
          <t>Keyboard K</t>
        </is>
      </c>
      <c r="E19" s="14" t="inlineStr">
        <is>
          <t>Accessories</t>
        </is>
      </c>
      <c r="F19" s="14" t="inlineStr">
        <is>
          <t>North</t>
        </is>
      </c>
      <c r="G19" s="14" t="n">
        <v>2</v>
      </c>
      <c r="H19" s="41" t="n">
        <v>75</v>
      </c>
    </row>
    <row r="20">
      <c r="A20" s="14" t="inlineStr">
        <is>
          <t>T004</t>
        </is>
      </c>
      <c r="B20" s="40" t="n">
        <v>46205</v>
      </c>
      <c r="C20" s="14" t="inlineStr">
        <is>
          <t>C103</t>
        </is>
      </c>
      <c r="D20" s="14" t="inlineStr">
        <is>
          <t>Laptop Air</t>
        </is>
      </c>
      <c r="E20" s="14" t="inlineStr">
        <is>
          <t>Computers</t>
        </is>
      </c>
      <c r="F20" s="14" t="inlineStr">
        <is>
          <t>West</t>
        </is>
      </c>
      <c r="G20" s="14" t="n">
        <v>1</v>
      </c>
      <c r="H20" s="41" t="n">
        <v>950</v>
      </c>
    </row>
    <row r="21">
      <c r="A21" s="14" t="inlineStr">
        <is>
          <t>T005</t>
        </is>
      </c>
      <c r="B21" s="40" t="n">
        <v>46206</v>
      </c>
      <c r="C21" s="14" t="inlineStr">
        <is>
          <t>C104</t>
        </is>
      </c>
      <c r="D21" s="14" t="inlineStr">
        <is>
          <t>Mouse X</t>
        </is>
      </c>
      <c r="E21" s="14" t="inlineStr">
        <is>
          <t>Accessories</t>
        </is>
      </c>
      <c r="F21" s="14" t="inlineStr">
        <is>
          <t>South</t>
        </is>
      </c>
      <c r="G21" s="14" t="n">
        <v>4</v>
      </c>
      <c r="H21" s="41" t="n">
        <v>30</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3.xml><?xml version="1.0" encoding="utf-8"?>
<worksheet xmlns="http://schemas.openxmlformats.org/spreadsheetml/2006/main">
  <sheetPr>
    <tabColor rgb="005B9BD5"/>
    <outlinePr summaryBelow="1" summaryRight="1"/>
    <pageSetUpPr fitToPage="1"/>
  </sheetPr>
  <dimension ref="A1:H17"/>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02 — Workbook Map</t>
        </is>
      </c>
    </row>
    <row r="2">
      <c r="A2" s="9" t="inlineStr">
        <is>
          <t>Capability</t>
        </is>
      </c>
      <c r="B2" s="54" t="inlineStr">
        <is>
          <t>Understand workbook structure and worksheet roles</t>
        </is>
      </c>
    </row>
    <row r="3">
      <c r="A3" s="9" t="inlineStr">
        <is>
          <t>Difficulty</t>
        </is>
      </c>
      <c r="B3" s="9" t="inlineStr">
        <is>
          <t>Foundation</t>
        </is>
      </c>
    </row>
    <row r="5">
      <c r="A5" s="3" t="inlineStr">
        <is>
          <t>Scenario</t>
        </is>
      </c>
      <c r="B5" s="2" t="inlineStr">
        <is>
          <t>This workbook contains three support sheets for this exercise: 02A_SALES_RAW, 02B_PRODUCTS_REF, and 02C_REPORT_OUTPUT. Inspect all three before answering. Do not assume a sheet role only from its name.</t>
        </is>
      </c>
    </row>
    <row r="6"/>
    <row r="8">
      <c r="A8" s="3" t="inlineStr">
        <is>
          <t>Your task</t>
        </is>
      </c>
    </row>
    <row r="9" ht="34" customHeight="1">
      <c r="A9" s="11" t="inlineStr">
        <is>
          <t>1. What is the likely role of each of the three support sheets?</t>
        </is>
      </c>
      <c r="E9" s="12" t="inlineStr">
        <is>
          <t>Type your answer here</t>
        </is>
      </c>
    </row>
    <row r="10" ht="34" customHeight="1">
      <c r="A10" s="11" t="inlineStr">
        <is>
          <t>2. Which sheet appears to contain source-level transactional data?</t>
        </is>
      </c>
      <c r="E10" s="12" t="inlineStr">
        <is>
          <t>Type your answer here</t>
        </is>
      </c>
    </row>
    <row r="11" ht="34" customHeight="1">
      <c r="A11" s="11" t="inlineStr">
        <is>
          <t>3. Which sheet appears to be a reference / lookup table, and what entity does one row represent there?</t>
        </is>
      </c>
      <c r="E11" s="12" t="inlineStr">
        <is>
          <t>Type your answer here</t>
        </is>
      </c>
    </row>
    <row r="12" ht="34" customHeight="1">
      <c r="A12" s="11" t="inlineStr">
        <is>
          <t>4. Which sheet contains derived output rather than raw source data? What evidence supports that conclusion?</t>
        </is>
      </c>
      <c r="E12" s="12" t="inlineStr">
        <is>
          <t>Type your answer here</t>
        </is>
      </c>
    </row>
    <row r="13" ht="34" customHeight="1">
      <c r="A13" s="11" t="inlineStr">
        <is>
          <t>5. If you were asked to add a new analysis, which sheet(s) would you avoid modifying first, and why?</t>
        </is>
      </c>
      <c r="E13" s="12" t="inlineStr">
        <is>
          <t>Type your answer here</t>
        </is>
      </c>
    </row>
    <row r="16">
      <c r="A16" s="6" t="inlineStr">
        <is>
          <t>Tip: inspect formulas in the output sheet and compare them with the source sheets. The point is not to calculate — it is to map the workbook.</t>
        </is>
      </c>
    </row>
    <row r="17"/>
  </sheetData>
  <mergeCells count="15">
    <mergeCell ref="A9:D9"/>
    <mergeCell ref="E9:H9"/>
    <mergeCell ref="A11:D11"/>
    <mergeCell ref="A12:D12"/>
    <mergeCell ref="E10:H10"/>
    <mergeCell ref="E12:H12"/>
    <mergeCell ref="A16:H17"/>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4.xml><?xml version="1.0" encoding="utf-8"?>
<worksheet xmlns="http://schemas.openxmlformats.org/spreadsheetml/2006/main">
  <sheetPr>
    <tabColor rgb="0070AD47"/>
    <outlinePr summaryBelow="1" summaryRight="1"/>
    <pageSetUpPr fitToPage="1"/>
  </sheetPr>
  <dimension ref="A1:G7"/>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3" t="inlineStr">
        <is>
          <t>Order_ID</t>
        </is>
      </c>
      <c r="B1" s="13" t="inlineStr">
        <is>
          <t>Date</t>
        </is>
      </c>
      <c r="C1" s="13" t="inlineStr">
        <is>
          <t>Customer_ID</t>
        </is>
      </c>
      <c r="D1" s="13" t="inlineStr">
        <is>
          <t>Product_ID</t>
        </is>
      </c>
      <c r="E1" s="13" t="inlineStr">
        <is>
          <t>Region</t>
        </is>
      </c>
      <c r="F1" s="13" t="inlineStr">
        <is>
          <t>Units</t>
        </is>
      </c>
      <c r="G1" s="13" t="inlineStr">
        <is>
          <t>Revenue</t>
        </is>
      </c>
    </row>
    <row r="2">
      <c r="A2" s="14" t="inlineStr">
        <is>
          <t>O1001</t>
        </is>
      </c>
      <c r="B2" s="40" t="n">
        <v>46174</v>
      </c>
      <c r="C2" s="14" t="inlineStr">
        <is>
          <t>C101</t>
        </is>
      </c>
      <c r="D2" s="14" t="inlineStr">
        <is>
          <t>P01</t>
        </is>
      </c>
      <c r="E2" s="14" t="inlineStr">
        <is>
          <t>North</t>
        </is>
      </c>
      <c r="F2" s="14" t="n">
        <v>1</v>
      </c>
      <c r="G2" s="41" t="n">
        <v>1200</v>
      </c>
    </row>
    <row r="3">
      <c r="A3" s="14" t="inlineStr">
        <is>
          <t>O1002</t>
        </is>
      </c>
      <c r="B3" s="40" t="n">
        <v>46174</v>
      </c>
      <c r="C3" s="14" t="inlineStr">
        <is>
          <t>C102</t>
        </is>
      </c>
      <c r="D3" s="14" t="inlineStr">
        <is>
          <t>P03</t>
        </is>
      </c>
      <c r="E3" s="14" t="inlineStr">
        <is>
          <t>South</t>
        </is>
      </c>
      <c r="F3" s="14" t="n">
        <v>3</v>
      </c>
      <c r="G3" s="41" t="n">
        <v>90</v>
      </c>
    </row>
    <row r="4">
      <c r="A4" s="14" t="inlineStr">
        <is>
          <t>O1003</t>
        </is>
      </c>
      <c r="B4" s="40" t="n">
        <v>46175</v>
      </c>
      <c r="C4" s="14" t="inlineStr">
        <is>
          <t>C103</t>
        </is>
      </c>
      <c r="D4" s="14" t="inlineStr">
        <is>
          <t>P02</t>
        </is>
      </c>
      <c r="E4" s="14" t="inlineStr">
        <is>
          <t>West</t>
        </is>
      </c>
      <c r="F4" s="14" t="n">
        <v>1</v>
      </c>
      <c r="G4" s="41" t="n">
        <v>950</v>
      </c>
    </row>
    <row r="5">
      <c r="A5" s="14" t="inlineStr">
        <is>
          <t>O1004</t>
        </is>
      </c>
      <c r="B5" s="40" t="n">
        <v>46176</v>
      </c>
      <c r="C5" s="14" t="inlineStr">
        <is>
          <t>C101</t>
        </is>
      </c>
      <c r="D5" s="14" t="inlineStr">
        <is>
          <t>P04</t>
        </is>
      </c>
      <c r="E5" s="14" t="inlineStr">
        <is>
          <t>North</t>
        </is>
      </c>
      <c r="F5" s="14" t="n">
        <v>2</v>
      </c>
      <c r="G5" s="41" t="n">
        <v>150</v>
      </c>
    </row>
    <row r="6">
      <c r="A6" s="14" t="inlineStr">
        <is>
          <t>O1005</t>
        </is>
      </c>
      <c r="B6" s="40" t="n">
        <v>46177</v>
      </c>
      <c r="C6" s="14" t="inlineStr">
        <is>
          <t>C104</t>
        </is>
      </c>
      <c r="D6" s="14" t="inlineStr">
        <is>
          <t>P03</t>
        </is>
      </c>
      <c r="E6" s="14" t="inlineStr">
        <is>
          <t>South</t>
        </is>
      </c>
      <c r="F6" s="14" t="n">
        <v>4</v>
      </c>
      <c r="G6" s="41" t="n">
        <v>120</v>
      </c>
    </row>
    <row r="7">
      <c r="A7" s="14" t="inlineStr">
        <is>
          <t>O1006</t>
        </is>
      </c>
      <c r="B7" s="40" t="n">
        <v>46178</v>
      </c>
      <c r="C7" s="14" t="inlineStr">
        <is>
          <t>C105</t>
        </is>
      </c>
      <c r="D7" s="14" t="inlineStr">
        <is>
          <t>P01</t>
        </is>
      </c>
      <c r="E7" s="14" t="inlineStr">
        <is>
          <t>East</t>
        </is>
      </c>
      <c r="F7" s="14" t="n">
        <v>1</v>
      </c>
      <c r="G7" s="41" t="n">
        <v>1200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70AD47"/>
    <outlinePr summaryBelow="1" summaryRight="1"/>
    <pageSetUpPr fitToPage="1"/>
  </sheetPr>
  <dimension ref="A1:D5"/>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3" t="inlineStr">
        <is>
          <t>Product_ID</t>
        </is>
      </c>
      <c r="B1" s="13" t="inlineStr">
        <is>
          <t>Product</t>
        </is>
      </c>
      <c r="C1" s="13" t="inlineStr">
        <is>
          <t>Category</t>
        </is>
      </c>
      <c r="D1" s="13" t="inlineStr">
        <is>
          <t>Standard_Price</t>
        </is>
      </c>
    </row>
    <row r="2">
      <c r="A2" s="14" t="inlineStr">
        <is>
          <t>P01</t>
        </is>
      </c>
      <c r="B2" s="14" t="inlineStr">
        <is>
          <t>Laptop Pro</t>
        </is>
      </c>
      <c r="C2" s="14" t="inlineStr">
        <is>
          <t>Computers</t>
        </is>
      </c>
      <c r="D2" s="41" t="n">
        <v>1200</v>
      </c>
    </row>
    <row r="3">
      <c r="A3" s="14" t="inlineStr">
        <is>
          <t>P02</t>
        </is>
      </c>
      <c r="B3" s="14" t="inlineStr">
        <is>
          <t>Laptop Air</t>
        </is>
      </c>
      <c r="C3" s="14" t="inlineStr">
        <is>
          <t>Computers</t>
        </is>
      </c>
      <c r="D3" s="41" t="n">
        <v>950</v>
      </c>
    </row>
    <row r="4">
      <c r="A4" s="14" t="inlineStr">
        <is>
          <t>P03</t>
        </is>
      </c>
      <c r="B4" s="14" t="inlineStr">
        <is>
          <t>Mouse X</t>
        </is>
      </c>
      <c r="C4" s="14" t="inlineStr">
        <is>
          <t>Accessories</t>
        </is>
      </c>
      <c r="D4" s="41" t="n">
        <v>30</v>
      </c>
    </row>
    <row r="5">
      <c r="A5" s="14" t="inlineStr">
        <is>
          <t>P04</t>
        </is>
      </c>
      <c r="B5" s="14" t="inlineStr">
        <is>
          <t>Keyboard K</t>
        </is>
      </c>
      <c r="C5" s="14" t="inlineStr">
        <is>
          <t>Accessories</t>
        </is>
      </c>
      <c r="D5" s="41" t="n">
        <v>75</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70AD47"/>
    <outlinePr summaryBelow="1" summaryRight="1"/>
    <pageSetUpPr fitToPage="1"/>
  </sheetPr>
  <dimension ref="A1:D11"/>
  <sheetViews>
    <sheetView showGridLines="0" workbookViewId="0">
      <pane ySplit="1" topLeftCell="A2"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7" t="inlineStr">
        <is>
          <t>Sales Report</t>
        </is>
      </c>
    </row>
    <row r="4">
      <c r="A4" s="13" t="inlineStr">
        <is>
          <t>KPI</t>
        </is>
      </c>
      <c r="B4" s="13" t="inlineStr">
        <is>
          <t>Value</t>
        </is>
      </c>
    </row>
    <row r="5">
      <c r="A5" t="inlineStr">
        <is>
          <t>Total Revenue</t>
        </is>
      </c>
      <c r="B5" s="42">
        <f>SUM('02A_SALES_RAW'!G2:G7)</f>
        <v/>
      </c>
    </row>
    <row r="6">
      <c r="A6" t="inlineStr">
        <is>
          <t>North Revenue</t>
        </is>
      </c>
      <c r="B6" s="42">
        <f>SUMIF('02A_SALES_RAW'!E2:E7,"North",'02A_SALES_RAW'!G2:G7)</f>
        <v/>
      </c>
    </row>
    <row r="7">
      <c r="A7" t="inlineStr">
        <is>
          <t>Order Count</t>
        </is>
      </c>
      <c r="B7" s="19">
        <f>COUNTA('02A_SALES_RAW'!A2:A7)</f>
        <v/>
      </c>
    </row>
    <row r="10">
      <c r="A10" s="6" t="inlineStr">
        <is>
          <t>This sheet is intentionally output-oriented. Inspect formulas rather than treating displayed values as raw data.</t>
        </is>
      </c>
    </row>
    <row r="11"/>
  </sheetData>
  <mergeCells count="2">
    <mergeCell ref="A1:D1"/>
    <mergeCell ref="A10:D11"/>
  </mergeCells>
  <pageMargins left="0.75" right="0.75" top="1" bottom="1" header="0.5" footer="0.5"/>
</worksheet>
</file>

<file path=xl/worksheets/sheet7.xml><?xml version="1.0" encoding="utf-8"?>
<worksheet xmlns="http://schemas.openxmlformats.org/spreadsheetml/2006/main">
  <sheetPr>
    <tabColor rgb="005B9BD5"/>
    <outlinePr summaryBelow="1" summaryRight="1"/>
    <pageSetUpPr fitToPage="1"/>
  </sheetPr>
  <dimension ref="A1:J21"/>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03 — Tables vs Ranges</t>
        </is>
      </c>
    </row>
    <row r="2">
      <c r="A2" s="9" t="inlineStr">
        <is>
          <t>Capability</t>
        </is>
      </c>
      <c r="B2" s="54" t="inlineStr">
        <is>
          <t>Identify Excel Tables, table names, and ordinary ranges</t>
        </is>
      </c>
    </row>
    <row r="3">
      <c r="A3" s="9" t="inlineStr">
        <is>
          <t>Difficulty</t>
        </is>
      </c>
      <c r="B3" s="9" t="inlineStr">
        <is>
          <t>Foundation</t>
        </is>
      </c>
    </row>
    <row r="5">
      <c r="A5" s="3" t="inlineStr">
        <is>
          <t>Scenario</t>
        </is>
      </c>
      <c r="B5" s="2" t="inlineStr">
        <is>
          <t>Two data blocks are shown below. One is a real Excel Table and the other is an ordinary cell range. Use Excel itself to determine which is which and what that implies.</t>
        </is>
      </c>
    </row>
    <row r="6"/>
    <row r="8">
      <c r="A8" s="3" t="inlineStr">
        <is>
          <t>Your task</t>
        </is>
      </c>
    </row>
    <row r="9" ht="34" customHeight="1">
      <c r="A9" s="11" t="inlineStr">
        <is>
          <t>1. Which data block is an Excel Table and which is an ordinary range?</t>
        </is>
      </c>
      <c r="E9" s="12" t="inlineStr">
        <is>
          <t>Type your answer here</t>
        </is>
      </c>
    </row>
    <row r="10" ht="34" customHeight="1">
      <c r="A10" s="11" t="inlineStr">
        <is>
          <t>2. What is the Excel Table name?</t>
        </is>
      </c>
      <c r="E10" s="12" t="inlineStr">
        <is>
          <t>Type your answer here</t>
        </is>
      </c>
    </row>
    <row r="11" ht="34" customHeight="1">
      <c r="A11" s="11" t="inlineStr">
        <is>
          <t>3. What clues in the Excel interface prove that the object is a Table?</t>
        </is>
      </c>
      <c r="E11" s="12" t="inlineStr">
        <is>
          <t>Type your answer here</t>
        </is>
      </c>
    </row>
    <row r="12" ht="34" customHeight="1">
      <c r="A12" s="11" t="inlineStr">
        <is>
          <t>4. If a new row is added directly below each block, which object is designed to expand automatically?</t>
        </is>
      </c>
      <c r="E12" s="12" t="inlineStr">
        <is>
          <t>Type your answer here</t>
        </is>
      </c>
    </row>
    <row r="13" ht="34" customHeight="1">
      <c r="A13" s="11" t="inlineStr">
        <is>
          <t>5. Why can Table names and structured ranges matter when auditing an unfamiliar workbook?</t>
        </is>
      </c>
      <c r="E13" s="12" t="inlineStr">
        <is>
          <t>Type your answer here</t>
        </is>
      </c>
    </row>
    <row r="16">
      <c r="A16" s="13" t="inlineStr">
        <is>
          <t>Sale_ID</t>
        </is>
      </c>
      <c r="B16" s="13" t="inlineStr">
        <is>
          <t>Date</t>
        </is>
      </c>
      <c r="C16" s="13" t="inlineStr">
        <is>
          <t>Region</t>
        </is>
      </c>
      <c r="D16" s="13" t="inlineStr">
        <is>
          <t>Units</t>
        </is>
      </c>
      <c r="E16" s="13" t="inlineStr">
        <is>
          <t>Revenue</t>
        </is>
      </c>
      <c r="H16" s="13" t="inlineStr">
        <is>
          <t>Product_ID</t>
        </is>
      </c>
      <c r="I16" s="13" t="inlineStr">
        <is>
          <t>Product</t>
        </is>
      </c>
      <c r="J16" s="13" t="inlineStr">
        <is>
          <t>Category</t>
        </is>
      </c>
    </row>
    <row r="17">
      <c r="A17" s="14" t="inlineStr">
        <is>
          <t>S01</t>
        </is>
      </c>
      <c r="B17" s="40" t="n">
        <v>46143</v>
      </c>
      <c r="C17" s="14" t="inlineStr">
        <is>
          <t>North</t>
        </is>
      </c>
      <c r="D17" s="14" t="n">
        <v>2</v>
      </c>
      <c r="E17" s="41" t="n">
        <v>500</v>
      </c>
      <c r="H17" s="14" t="inlineStr">
        <is>
          <t>P01</t>
        </is>
      </c>
      <c r="I17" s="14" t="inlineStr">
        <is>
          <t>Laptop Pro</t>
        </is>
      </c>
      <c r="J17" s="14" t="inlineStr">
        <is>
          <t>Computers</t>
        </is>
      </c>
    </row>
    <row r="18">
      <c r="A18" s="14" t="inlineStr">
        <is>
          <t>S02</t>
        </is>
      </c>
      <c r="B18" s="40" t="n">
        <v>46143</v>
      </c>
      <c r="C18" s="14" t="inlineStr">
        <is>
          <t>South</t>
        </is>
      </c>
      <c r="D18" s="14" t="n">
        <v>1</v>
      </c>
      <c r="E18" s="41" t="n">
        <v>300</v>
      </c>
      <c r="H18" s="14" t="inlineStr">
        <is>
          <t>P02</t>
        </is>
      </c>
      <c r="I18" s="14" t="inlineStr">
        <is>
          <t>Laptop Air</t>
        </is>
      </c>
      <c r="J18" s="14" t="inlineStr">
        <is>
          <t>Computers</t>
        </is>
      </c>
    </row>
    <row r="19">
      <c r="A19" s="14" t="inlineStr">
        <is>
          <t>S03</t>
        </is>
      </c>
      <c r="B19" s="40" t="n">
        <v>46144</v>
      </c>
      <c r="C19" s="14" t="inlineStr">
        <is>
          <t>West</t>
        </is>
      </c>
      <c r="D19" s="14" t="n">
        <v>3</v>
      </c>
      <c r="E19" s="41" t="n">
        <v>750</v>
      </c>
      <c r="H19" s="14" t="inlineStr">
        <is>
          <t>P03</t>
        </is>
      </c>
      <c r="I19" s="14" t="inlineStr">
        <is>
          <t>Mouse X</t>
        </is>
      </c>
      <c r="J19" s="14" t="inlineStr">
        <is>
          <t>Accessories</t>
        </is>
      </c>
    </row>
    <row r="20">
      <c r="A20" s="14" t="inlineStr">
        <is>
          <t>S04</t>
        </is>
      </c>
      <c r="B20" s="40" t="n">
        <v>46145</v>
      </c>
      <c r="C20" s="14" t="inlineStr">
        <is>
          <t>North</t>
        </is>
      </c>
      <c r="D20" s="14" t="n">
        <v>1</v>
      </c>
      <c r="E20" s="41" t="n">
        <v>250</v>
      </c>
      <c r="H20" s="14" t="inlineStr">
        <is>
          <t>P04</t>
        </is>
      </c>
      <c r="I20" s="14" t="inlineStr">
        <is>
          <t>Keyboard K</t>
        </is>
      </c>
      <c r="J20" s="14" t="inlineStr">
        <is>
          <t>Accessories</t>
        </is>
      </c>
    </row>
    <row r="21">
      <c r="A21" s="14" t="inlineStr">
        <is>
          <t>S05</t>
        </is>
      </c>
      <c r="B21" s="40" t="n">
        <v>46146</v>
      </c>
      <c r="C21" s="14" t="inlineStr">
        <is>
          <t>East</t>
        </is>
      </c>
      <c r="D21" s="14" t="n">
        <v>4</v>
      </c>
      <c r="E21" s="41" t="n">
        <v>1000</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5B9BD5"/>
    <outlinePr summaryBelow="1" summaryRight="1"/>
    <pageSetUpPr fitToPage="1"/>
  </sheetPr>
  <dimension ref="A1:P21"/>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04 — Keys &amp; Relationships</t>
        </is>
      </c>
    </row>
    <row r="2">
      <c r="A2" s="9" t="inlineStr">
        <is>
          <t>Capability</t>
        </is>
      </c>
      <c r="B2" s="54" t="inlineStr">
        <is>
          <t>Identify join keys and one-to-many relationships</t>
        </is>
      </c>
    </row>
    <row r="3">
      <c r="A3" s="9" t="inlineStr">
        <is>
          <t>Difficulty</t>
        </is>
      </c>
      <c r="B3" s="9" t="inlineStr">
        <is>
          <t>Intermediate</t>
        </is>
      </c>
    </row>
    <row r="5">
      <c r="A5" s="3" t="inlineStr">
        <is>
          <t>Scenario</t>
        </is>
      </c>
      <c r="B5" s="2" t="inlineStr">
        <is>
          <t>You receive three datasets on the same sheet. Do not perform any lookup yet. First determine how the datasets relate and where uniqueness should exist.</t>
        </is>
      </c>
    </row>
    <row r="6"/>
    <row r="8">
      <c r="A8" s="3" t="inlineStr">
        <is>
          <t>Your task</t>
        </is>
      </c>
    </row>
    <row r="9" ht="34" customHeight="1">
      <c r="A9" s="11" t="inlineStr">
        <is>
          <t>1. What does one row represent in Sales, Products, and Customers?</t>
        </is>
      </c>
      <c r="E9" s="12" t="inlineStr">
        <is>
          <t>Type your answer here</t>
        </is>
      </c>
    </row>
    <row r="10" ht="34" customHeight="1">
      <c r="A10" s="11" t="inlineStr">
        <is>
          <t>2. Which field should connect Sales to Products?</t>
        </is>
      </c>
      <c r="E10" s="12" t="inlineStr">
        <is>
          <t>Type your answer here</t>
        </is>
      </c>
    </row>
    <row r="11" ht="34" customHeight="1">
      <c r="A11" s="11" t="inlineStr">
        <is>
          <t>3. Which field should connect Sales to Customers?</t>
        </is>
      </c>
      <c r="E11" s="12" t="inlineStr">
        <is>
          <t>Type your answer here</t>
        </is>
      </c>
    </row>
    <row r="12" ht="34" customHeight="1">
      <c r="A12" s="11" t="inlineStr">
        <is>
          <t>4. On which side of each relationship should the key be unique?</t>
        </is>
      </c>
      <c r="E12" s="12" t="inlineStr">
        <is>
          <t>Type your answer here</t>
        </is>
      </c>
    </row>
    <row r="13" ht="34" customHeight="1">
      <c r="A13" s="11" t="inlineStr">
        <is>
          <t>5. Would Order_ID alone be a safe row-level key in Sales? Explain from the data shown.</t>
        </is>
      </c>
      <c r="E13" s="12" t="inlineStr">
        <is>
          <t>Type your answer here</t>
        </is>
      </c>
    </row>
    <row r="16">
      <c r="A16" s="13" t="inlineStr">
        <is>
          <t>Line_ID</t>
        </is>
      </c>
      <c r="B16" s="13" t="inlineStr">
        <is>
          <t>Order_ID</t>
        </is>
      </c>
      <c r="C16" s="13" t="inlineStr">
        <is>
          <t>Customer_ID</t>
        </is>
      </c>
      <c r="D16" s="13" t="inlineStr">
        <is>
          <t>Product_ID</t>
        </is>
      </c>
      <c r="E16" s="13" t="inlineStr">
        <is>
          <t>Date</t>
        </is>
      </c>
      <c r="F16" s="13" t="inlineStr">
        <is>
          <t>Units</t>
        </is>
      </c>
      <c r="G16" s="13" t="inlineStr">
        <is>
          <t>Revenue</t>
        </is>
      </c>
      <c r="I16" s="13" t="inlineStr">
        <is>
          <t>Product_ID</t>
        </is>
      </c>
      <c r="J16" s="13" t="inlineStr">
        <is>
          <t>Product</t>
        </is>
      </c>
      <c r="K16" s="13" t="inlineStr">
        <is>
          <t>Category</t>
        </is>
      </c>
      <c r="L16" s="13" t="inlineStr">
        <is>
          <t>Standard_Price</t>
        </is>
      </c>
      <c r="N16" s="13" t="inlineStr">
        <is>
          <t>Customer_ID</t>
        </is>
      </c>
      <c r="O16" s="13" t="inlineStr">
        <is>
          <t>Customer_Name</t>
        </is>
      </c>
      <c r="P16" s="13" t="inlineStr">
        <is>
          <t>Segment</t>
        </is>
      </c>
    </row>
    <row r="17">
      <c r="A17" s="14" t="inlineStr">
        <is>
          <t>L001</t>
        </is>
      </c>
      <c r="B17" s="14" t="inlineStr">
        <is>
          <t>O1001</t>
        </is>
      </c>
      <c r="C17" s="14" t="inlineStr">
        <is>
          <t>C101</t>
        </is>
      </c>
      <c r="D17" s="14" t="inlineStr">
        <is>
          <t>P01</t>
        </is>
      </c>
      <c r="E17" s="40" t="n">
        <v>46204</v>
      </c>
      <c r="F17" s="14" t="n">
        <v>1</v>
      </c>
      <c r="G17" s="41" t="n">
        <v>1200</v>
      </c>
      <c r="I17" s="14" t="inlineStr">
        <is>
          <t>P01</t>
        </is>
      </c>
      <c r="J17" s="14" t="inlineStr">
        <is>
          <t>Laptop Pro</t>
        </is>
      </c>
      <c r="K17" s="14" t="inlineStr">
        <is>
          <t>Computers</t>
        </is>
      </c>
      <c r="L17" s="41" t="n">
        <v>1200</v>
      </c>
      <c r="N17" s="14" t="inlineStr">
        <is>
          <t>C101</t>
        </is>
      </c>
      <c r="O17" s="14" t="inlineStr">
        <is>
          <t>Orion Labs</t>
        </is>
      </c>
      <c r="P17" s="14" t="inlineStr">
        <is>
          <t>SMB</t>
        </is>
      </c>
    </row>
    <row r="18">
      <c r="A18" s="14" t="inlineStr">
        <is>
          <t>L002</t>
        </is>
      </c>
      <c r="B18" s="14" t="inlineStr">
        <is>
          <t>O1001</t>
        </is>
      </c>
      <c r="C18" s="14" t="inlineStr">
        <is>
          <t>C101</t>
        </is>
      </c>
      <c r="D18" s="14" t="inlineStr">
        <is>
          <t>P03</t>
        </is>
      </c>
      <c r="E18" s="40" t="n">
        <v>46204</v>
      </c>
      <c r="F18" s="14" t="n">
        <v>2</v>
      </c>
      <c r="G18" s="41" t="n">
        <v>60</v>
      </c>
      <c r="I18" s="14" t="inlineStr">
        <is>
          <t>P02</t>
        </is>
      </c>
      <c r="J18" s="14" t="inlineStr">
        <is>
          <t>Laptop Air</t>
        </is>
      </c>
      <c r="K18" s="14" t="inlineStr">
        <is>
          <t>Computers</t>
        </is>
      </c>
      <c r="L18" s="41" t="n">
        <v>950</v>
      </c>
      <c r="N18" s="14" t="inlineStr">
        <is>
          <t>C102</t>
        </is>
      </c>
      <c r="O18" s="14" t="inlineStr">
        <is>
          <t>Nova Retail</t>
        </is>
      </c>
      <c r="P18" s="14" t="inlineStr">
        <is>
          <t>Enterprise</t>
        </is>
      </c>
    </row>
    <row r="19">
      <c r="A19" s="14" t="inlineStr">
        <is>
          <t>L003</t>
        </is>
      </c>
      <c r="B19" s="14" t="inlineStr">
        <is>
          <t>O1002</t>
        </is>
      </c>
      <c r="C19" s="14" t="inlineStr">
        <is>
          <t>C102</t>
        </is>
      </c>
      <c r="D19" s="14" t="inlineStr">
        <is>
          <t>P02</t>
        </is>
      </c>
      <c r="E19" s="40" t="n">
        <v>46205</v>
      </c>
      <c r="F19" s="14" t="n">
        <v>1</v>
      </c>
      <c r="G19" s="41" t="n">
        <v>950</v>
      </c>
      <c r="I19" s="14" t="inlineStr">
        <is>
          <t>P03</t>
        </is>
      </c>
      <c r="J19" s="14" t="inlineStr">
        <is>
          <t>Mouse X</t>
        </is>
      </c>
      <c r="K19" s="14" t="inlineStr">
        <is>
          <t>Accessories</t>
        </is>
      </c>
      <c r="L19" s="41" t="n">
        <v>30</v>
      </c>
      <c r="N19" s="14" t="inlineStr">
        <is>
          <t>C103</t>
        </is>
      </c>
      <c r="O19" s="14" t="inlineStr">
        <is>
          <t>Blue Peak</t>
        </is>
      </c>
      <c r="P19" s="14" t="inlineStr">
        <is>
          <t>SMB</t>
        </is>
      </c>
    </row>
    <row r="20">
      <c r="A20" s="14" t="inlineStr">
        <is>
          <t>L004</t>
        </is>
      </c>
      <c r="B20" s="14" t="inlineStr">
        <is>
          <t>O1003</t>
        </is>
      </c>
      <c r="C20" s="14" t="inlineStr">
        <is>
          <t>C103</t>
        </is>
      </c>
      <c r="D20" s="14" t="inlineStr">
        <is>
          <t>P03</t>
        </is>
      </c>
      <c r="E20" s="40" t="n">
        <v>46205</v>
      </c>
      <c r="F20" s="14" t="n">
        <v>4</v>
      </c>
      <c r="G20" s="41" t="n">
        <v>120</v>
      </c>
      <c r="I20" s="14" t="inlineStr">
        <is>
          <t>P04</t>
        </is>
      </c>
      <c r="J20" s="14" t="inlineStr">
        <is>
          <t>Keyboard K</t>
        </is>
      </c>
      <c r="K20" s="14" t="inlineStr">
        <is>
          <t>Accessories</t>
        </is>
      </c>
      <c r="L20" s="41" t="n">
        <v>75</v>
      </c>
    </row>
    <row r="21">
      <c r="A21" s="14" t="inlineStr">
        <is>
          <t>L005</t>
        </is>
      </c>
      <c r="B21" s="14" t="inlineStr">
        <is>
          <t>O1004</t>
        </is>
      </c>
      <c r="C21" s="14" t="inlineStr">
        <is>
          <t>C101</t>
        </is>
      </c>
      <c r="D21" s="14" t="inlineStr">
        <is>
          <t>P04</t>
        </is>
      </c>
      <c r="E21" s="40" t="n">
        <v>46206</v>
      </c>
      <c r="F21" s="14" t="n">
        <v>1</v>
      </c>
      <c r="G21" s="41" t="n">
        <v>75</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tabColor rgb="005B9BD5"/>
    <outlinePr summaryBelow="1" summaryRight="1"/>
    <pageSetUpPr fitToPage="1"/>
  </sheetPr>
  <dimension ref="A1:I22"/>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05 — Raw vs Derived</t>
        </is>
      </c>
    </row>
    <row r="2">
      <c r="A2" s="9" t="inlineStr">
        <is>
          <t>Capability</t>
        </is>
      </c>
      <c r="B2" s="54" t="inlineStr">
        <is>
          <t>Distinguish source values from calculated fields and spot formula patterns</t>
        </is>
      </c>
    </row>
    <row r="3">
      <c r="A3" s="9" t="inlineStr">
        <is>
          <t>Difficulty</t>
        </is>
      </c>
      <c r="B3" s="9" t="inlineStr">
        <is>
          <t>Intermediate</t>
        </is>
      </c>
    </row>
    <row r="5">
      <c r="A5" s="3" t="inlineStr">
        <is>
          <t>Scenario</t>
        </is>
      </c>
      <c r="B5" s="2" t="inlineStr">
        <is>
          <t>An analyst has already worked on this table. Some columns are source inputs and others are calculated inside Excel. Inspect formulas before deciding what each field means.</t>
        </is>
      </c>
    </row>
    <row r="6"/>
    <row r="8">
      <c r="A8" s="3" t="inlineStr">
        <is>
          <t>Your task</t>
        </is>
      </c>
    </row>
    <row r="9" ht="34" customHeight="1">
      <c r="A9" s="11" t="inlineStr">
        <is>
          <t>1. Which columns appear to be source fields and which are derived/calculated?</t>
        </is>
      </c>
      <c r="E9" s="12" t="inlineStr">
        <is>
          <t>Type your answer here</t>
        </is>
      </c>
    </row>
    <row r="10" ht="34" customHeight="1">
      <c r="A10" s="11" t="inlineStr">
        <is>
          <t>2. What is the dependency chain for Net_Revenue?</t>
        </is>
      </c>
      <c r="E10" s="12" t="inlineStr">
        <is>
          <t>Type your answer here</t>
        </is>
      </c>
    </row>
    <row r="11" ht="34" customHeight="1">
      <c r="A11" s="11" t="inlineStr">
        <is>
          <t>3. Are the formulas consistent down each calculated column?</t>
        </is>
      </c>
      <c r="E11" s="12" t="inlineStr">
        <is>
          <t>Type your answer here</t>
        </is>
      </c>
    </row>
    <row r="12" ht="34" customHeight="1">
      <c r="A12" s="11" t="inlineStr">
        <is>
          <t>4. Is there any row that breaks the calculation pattern? If yes, identify the cell or row without changing it.</t>
        </is>
      </c>
      <c r="E12" s="12" t="inlineStr">
        <is>
          <t>Type your answer here</t>
        </is>
      </c>
    </row>
    <row r="13" ht="34" customHeight="1">
      <c r="A13" s="11" t="inlineStr">
        <is>
          <t>5. Why would treating a derived field as raw source data be risky during a take-home assessment?</t>
        </is>
      </c>
      <c r="E13" s="12" t="inlineStr">
        <is>
          <t>Type your answer here</t>
        </is>
      </c>
    </row>
    <row r="16">
      <c r="A16" s="13" t="inlineStr">
        <is>
          <t>Line_ID</t>
        </is>
      </c>
      <c r="B16" s="13" t="inlineStr">
        <is>
          <t>Order_ID</t>
        </is>
      </c>
      <c r="C16" s="13" t="inlineStr">
        <is>
          <t>Product</t>
        </is>
      </c>
      <c r="D16" s="13" t="inlineStr">
        <is>
          <t>Region</t>
        </is>
      </c>
      <c r="E16" s="13" t="inlineStr">
        <is>
          <t>Units</t>
        </is>
      </c>
      <c r="F16" s="13" t="inlineStr">
        <is>
          <t>Unit_Price</t>
        </is>
      </c>
      <c r="G16" s="13" t="inlineStr">
        <is>
          <t>Discount</t>
        </is>
      </c>
      <c r="H16" s="13" t="inlineStr">
        <is>
          <t>Gross_Revenue</t>
        </is>
      </c>
      <c r="I16" s="13" t="inlineStr">
        <is>
          <t>Net_Revenue</t>
        </is>
      </c>
    </row>
    <row r="17">
      <c r="A17" s="14" t="inlineStr">
        <is>
          <t>L001</t>
        </is>
      </c>
      <c r="B17" s="14" t="inlineStr">
        <is>
          <t>O1001</t>
        </is>
      </c>
      <c r="C17" s="14" t="inlineStr">
        <is>
          <t>Laptop Pro</t>
        </is>
      </c>
      <c r="D17" s="14" t="inlineStr">
        <is>
          <t>North</t>
        </is>
      </c>
      <c r="E17" s="14" t="n">
        <v>1</v>
      </c>
      <c r="F17" s="41" t="n">
        <v>1200</v>
      </c>
      <c r="G17" s="20" t="n">
        <v>0</v>
      </c>
      <c r="H17" s="43">
        <f>E17*F17</f>
        <v/>
      </c>
      <c r="I17" s="43">
        <f>H17*(1-G17)</f>
        <v/>
      </c>
    </row>
    <row r="18">
      <c r="A18" s="14" t="inlineStr">
        <is>
          <t>L002</t>
        </is>
      </c>
      <c r="B18" s="14" t="inlineStr">
        <is>
          <t>O1001</t>
        </is>
      </c>
      <c r="C18" s="14" t="inlineStr">
        <is>
          <t>Mouse X</t>
        </is>
      </c>
      <c r="D18" s="14" t="inlineStr">
        <is>
          <t>North</t>
        </is>
      </c>
      <c r="E18" s="14" t="n">
        <v>2</v>
      </c>
      <c r="F18" s="41" t="n">
        <v>30</v>
      </c>
      <c r="G18" s="20" t="n">
        <v>0.1</v>
      </c>
      <c r="H18" s="43">
        <f>E18*F18</f>
        <v/>
      </c>
      <c r="I18" s="43">
        <f>H18*(1-G18)</f>
        <v/>
      </c>
    </row>
    <row r="19">
      <c r="A19" s="14" t="inlineStr">
        <is>
          <t>L003</t>
        </is>
      </c>
      <c r="B19" s="14" t="inlineStr">
        <is>
          <t>O1002</t>
        </is>
      </c>
      <c r="C19" s="14" t="inlineStr">
        <is>
          <t>Laptop Air</t>
        </is>
      </c>
      <c r="D19" s="14" t="inlineStr">
        <is>
          <t>West</t>
        </is>
      </c>
      <c r="E19" s="14" t="n">
        <v>1</v>
      </c>
      <c r="F19" s="41" t="n">
        <v>950</v>
      </c>
      <c r="G19" s="20" t="n">
        <v>0.05</v>
      </c>
      <c r="H19" s="43">
        <f>E19*F19</f>
        <v/>
      </c>
      <c r="I19" s="43">
        <f>H19*(1-G19)</f>
        <v/>
      </c>
    </row>
    <row r="20">
      <c r="A20" s="14" t="inlineStr">
        <is>
          <t>L004</t>
        </is>
      </c>
      <c r="B20" s="14" t="inlineStr">
        <is>
          <t>O1003</t>
        </is>
      </c>
      <c r="C20" s="14" t="inlineStr">
        <is>
          <t>Mouse X</t>
        </is>
      </c>
      <c r="D20" s="14" t="inlineStr">
        <is>
          <t>South</t>
        </is>
      </c>
      <c r="E20" s="14" t="n">
        <v>4</v>
      </c>
      <c r="F20" s="41" t="n">
        <v>30</v>
      </c>
      <c r="G20" s="20" t="n">
        <v>0</v>
      </c>
      <c r="H20" s="43">
        <f>E20*F20</f>
        <v/>
      </c>
      <c r="I20" s="44" t="n">
        <v>120</v>
      </c>
    </row>
    <row r="21">
      <c r="A21" s="14" t="inlineStr">
        <is>
          <t>L005</t>
        </is>
      </c>
      <c r="B21" s="14" t="inlineStr">
        <is>
          <t>O1004</t>
        </is>
      </c>
      <c r="C21" s="14" t="inlineStr">
        <is>
          <t>Keyboard K</t>
        </is>
      </c>
      <c r="D21" s="14" t="inlineStr">
        <is>
          <t>East</t>
        </is>
      </c>
      <c r="E21" s="14" t="n">
        <v>2</v>
      </c>
      <c r="F21" s="41" t="n">
        <v>75</v>
      </c>
      <c r="G21" s="20" t="n">
        <v>0.2</v>
      </c>
      <c r="H21" s="43">
        <f>E21*F21</f>
        <v/>
      </c>
      <c r="I21" s="43">
        <f>H21*(1-G21)</f>
        <v/>
      </c>
    </row>
    <row r="22">
      <c r="A22" s="14" t="inlineStr">
        <is>
          <t>L006</t>
        </is>
      </c>
      <c r="B22" s="14" t="inlineStr">
        <is>
          <t>O1005</t>
        </is>
      </c>
      <c r="C22" s="14" t="inlineStr">
        <is>
          <t>Laptop Pro</t>
        </is>
      </c>
      <c r="D22" s="14" t="inlineStr">
        <is>
          <t>South</t>
        </is>
      </c>
      <c r="E22" s="14" t="n">
        <v>1</v>
      </c>
      <c r="F22" s="41" t="n">
        <v>1200</v>
      </c>
      <c r="G22" s="20" t="n">
        <v>0.15</v>
      </c>
      <c r="H22" s="43">
        <f>E22*F22</f>
        <v/>
      </c>
      <c r="I22" s="43">
        <f>H22*(1-G22)</f>
        <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5B9BD5"/>
    <outlinePr summaryBelow="1" summaryRight="1"/>
    <pageSetUpPr fitToPage="1"/>
  </sheetPr>
  <dimension ref="A1:I29"/>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06 — Defined Names</t>
        </is>
      </c>
    </row>
    <row r="2">
      <c r="A2" s="9" t="inlineStr">
        <is>
          <t>Capability</t>
        </is>
      </c>
      <c r="B2" s="54" t="inlineStr">
        <is>
          <t>Use Name Box and Name Manager to discover named cells, ranges, and constants</t>
        </is>
      </c>
    </row>
    <row r="3">
      <c r="A3" s="9" t="inlineStr">
        <is>
          <t>Difficulty</t>
        </is>
      </c>
      <c r="B3" s="9" t="inlineStr">
        <is>
          <t>Intermediate</t>
        </is>
      </c>
    </row>
    <row r="5">
      <c r="A5" s="3" t="inlineStr">
        <is>
          <t>Scenario</t>
        </is>
      </c>
      <c r="B5" s="2" t="inlineStr">
        <is>
          <t>This sheet uses workbook-level Defined Names. Do not infer what they mean only from formulas. Open Formulas → Name Manager and inspect Name, Refers To, and Scope.</t>
        </is>
      </c>
    </row>
    <row r="6"/>
    <row r="8">
      <c r="A8" s="3" t="inlineStr">
        <is>
          <t>Your task</t>
        </is>
      </c>
    </row>
    <row r="9" ht="34" customHeight="1">
      <c r="A9" s="11" t="inlineStr">
        <is>
          <t>1. List all Defined Names that are relevant to this sheet.</t>
        </is>
      </c>
      <c r="E9" s="12" t="inlineStr">
        <is>
          <t>Type your answer here</t>
        </is>
      </c>
    </row>
    <row r="10" ht="34" customHeight="1">
      <c r="A10" s="11" t="inlineStr">
        <is>
          <t>2. For each name, what does it refer to: a cell, a range, or a constant?</t>
        </is>
      </c>
      <c r="E10" s="12" t="inlineStr">
        <is>
          <t>Type your answer here</t>
        </is>
      </c>
    </row>
    <row r="11" ht="34" customHeight="1">
      <c r="A11" s="11" t="inlineStr">
        <is>
          <t>3. Which name represents the sales data block?</t>
        </is>
      </c>
      <c r="E11" s="12" t="inlineStr">
        <is>
          <t>Type your answer here</t>
        </is>
      </c>
    </row>
    <row r="12" ht="34" customHeight="1">
      <c r="A12" s="11" t="inlineStr">
        <is>
          <t>4. Which names could affect analysis logic even though they are not columns in the sales table?</t>
        </is>
      </c>
      <c r="E12" s="12" t="inlineStr">
        <is>
          <t>Type your answer here</t>
        </is>
      </c>
    </row>
    <row r="13" ht="34" customHeight="1">
      <c r="A13" s="11" t="inlineStr">
        <is>
          <t>5. What is the difference between using the Name Box for navigation and Name Manager for discovery?</t>
        </is>
      </c>
      <c r="E13" s="12" t="inlineStr">
        <is>
          <t>Type your answer here</t>
        </is>
      </c>
    </row>
    <row r="18">
      <c r="A18" s="23" t="inlineStr">
        <is>
          <t>Control / assumptions</t>
        </is>
      </c>
    </row>
    <row r="19">
      <c r="A19" t="inlineStr">
        <is>
          <t>Tax rate</t>
        </is>
      </c>
      <c r="B19" s="24" t="n">
        <v>0.17</v>
      </c>
      <c r="H19" s="10" t="inlineStr">
        <is>
          <t>Example formula using a name</t>
        </is>
      </c>
    </row>
    <row r="20">
      <c r="A20" t="inlineStr">
        <is>
          <t>Report date</t>
        </is>
      </c>
      <c r="B20" s="45" t="n">
        <v>46250</v>
      </c>
      <c r="H20" t="inlineStr">
        <is>
          <t>After-tax sales</t>
        </is>
      </c>
      <c r="I20" s="46">
        <f>SUM(F25:F29)*(1-Tax_Rate)</f>
        <v/>
      </c>
    </row>
    <row r="21">
      <c r="A21" t="inlineStr">
        <is>
          <t>Target margin</t>
        </is>
      </c>
      <c r="B21" s="24" t="n">
        <v>0.35</v>
      </c>
    </row>
    <row r="24">
      <c r="A24" s="13" t="inlineStr">
        <is>
          <t>Sale_ID</t>
        </is>
      </c>
      <c r="B24" s="13" t="inlineStr">
        <is>
          <t>Date</t>
        </is>
      </c>
      <c r="C24" s="13" t="inlineStr">
        <is>
          <t>Region</t>
        </is>
      </c>
      <c r="D24" s="13" t="inlineStr">
        <is>
          <t>Product</t>
        </is>
      </c>
      <c r="E24" s="13" t="inlineStr">
        <is>
          <t>Units</t>
        </is>
      </c>
      <c r="F24" s="13" t="inlineStr">
        <is>
          <t>Revenue</t>
        </is>
      </c>
    </row>
    <row r="25">
      <c r="A25" s="14" t="inlineStr">
        <is>
          <t>S01</t>
        </is>
      </c>
      <c r="B25" s="40" t="n">
        <v>46204</v>
      </c>
      <c r="C25" s="14" t="inlineStr">
        <is>
          <t>North</t>
        </is>
      </c>
      <c r="D25" s="14" t="inlineStr">
        <is>
          <t>Laptop Pro</t>
        </is>
      </c>
      <c r="E25" s="14" t="n">
        <v>1</v>
      </c>
      <c r="F25" s="41" t="n">
        <v>1200</v>
      </c>
    </row>
    <row r="26">
      <c r="A26" s="14" t="inlineStr">
        <is>
          <t>S02</t>
        </is>
      </c>
      <c r="B26" s="40" t="n">
        <v>46204</v>
      </c>
      <c r="C26" s="14" t="inlineStr">
        <is>
          <t>South</t>
        </is>
      </c>
      <c r="D26" s="14" t="inlineStr">
        <is>
          <t>Mouse X</t>
        </is>
      </c>
      <c r="E26" s="14" t="n">
        <v>3</v>
      </c>
      <c r="F26" s="41" t="n">
        <v>90</v>
      </c>
    </row>
    <row r="27">
      <c r="A27" s="14" t="inlineStr">
        <is>
          <t>S03</t>
        </is>
      </c>
      <c r="B27" s="40" t="n">
        <v>46205</v>
      </c>
      <c r="C27" s="14" t="inlineStr">
        <is>
          <t>West</t>
        </is>
      </c>
      <c r="D27" s="14" t="inlineStr">
        <is>
          <t>Laptop Air</t>
        </is>
      </c>
      <c r="E27" s="14" t="n">
        <v>1</v>
      </c>
      <c r="F27" s="41" t="n">
        <v>950</v>
      </c>
    </row>
    <row r="28">
      <c r="A28" s="14" t="inlineStr">
        <is>
          <t>S04</t>
        </is>
      </c>
      <c r="B28" s="40" t="n">
        <v>46206</v>
      </c>
      <c r="C28" s="14" t="inlineStr">
        <is>
          <t>North</t>
        </is>
      </c>
      <c r="D28" s="14" t="inlineStr">
        <is>
          <t>Keyboard K</t>
        </is>
      </c>
      <c r="E28" s="14" t="n">
        <v>2</v>
      </c>
      <c r="F28" s="41" t="n">
        <v>150</v>
      </c>
    </row>
    <row r="29">
      <c r="A29" s="14" t="inlineStr">
        <is>
          <t>S05</t>
        </is>
      </c>
      <c r="B29" s="40" t="n">
        <v>46207</v>
      </c>
      <c r="C29" s="14" t="inlineStr">
        <is>
          <t>South</t>
        </is>
      </c>
      <c r="D29" s="14" t="inlineStr">
        <is>
          <t>Mouse X</t>
        </is>
      </c>
      <c r="E29" s="14" t="n">
        <v>4</v>
      </c>
      <c r="F29" s="41" t="n">
        <v>120</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11.xml><?xml version="1.0" encoding="utf-8"?>
<worksheet xmlns="http://schemas.openxmlformats.org/spreadsheetml/2006/main">
  <sheetPr>
    <tabColor rgb="005B9BD5"/>
    <outlinePr summaryBelow="1" summaryRight="1"/>
    <pageSetUpPr fitToPage="1"/>
  </sheetPr>
  <dimension ref="A1:K22"/>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07 — Formula Logic</t>
        </is>
      </c>
    </row>
    <row r="2">
      <c r="A2" s="9" t="inlineStr">
        <is>
          <t>Capability</t>
        </is>
      </c>
      <c r="B2" s="54" t="inlineStr">
        <is>
          <t>Inspect existing formulas and trace calculation dependencies</t>
        </is>
      </c>
    </row>
    <row r="3">
      <c r="A3" s="9" t="inlineStr">
        <is>
          <t>Difficulty</t>
        </is>
      </c>
      <c r="B3" s="9" t="inlineStr">
        <is>
          <t>Intermediate</t>
        </is>
      </c>
    </row>
    <row r="5">
      <c r="A5" s="3" t="inlineStr">
        <is>
          <t>Scenario</t>
        </is>
      </c>
      <c r="B5" s="2" t="inlineStr">
        <is>
          <t>The sheet contains source data plus a KPI block built by another analyst. Your task is to understand the logic that already exists, not to rewrite it.</t>
        </is>
      </c>
    </row>
    <row r="6"/>
    <row r="8">
      <c r="A8" s="3" t="inlineStr">
        <is>
          <t>Your task</t>
        </is>
      </c>
    </row>
    <row r="9" ht="34" customHeight="1">
      <c r="A9" s="11" t="inlineStr">
        <is>
          <t>1. Which source columns feed the Gross Sales KPI?</t>
        </is>
      </c>
      <c r="E9" s="12" t="inlineStr">
        <is>
          <t>Type your answer here</t>
        </is>
      </c>
    </row>
    <row r="10" ht="34" customHeight="1">
      <c r="A10" s="11" t="inlineStr">
        <is>
          <t>2. Which KPI depends on another KPI rather than directly on source rows?</t>
        </is>
      </c>
      <c r="E10" s="12" t="inlineStr">
        <is>
          <t>Type your answer here</t>
        </is>
      </c>
    </row>
    <row r="11" ht="34" customHeight="1">
      <c r="A11" s="11" t="inlineStr">
        <is>
          <t>3. For the Margin % KPI, describe the dependency chain from source fields to final output.</t>
        </is>
      </c>
      <c r="E11" s="12" t="inlineStr">
        <is>
          <t>Type your answer here</t>
        </is>
      </c>
    </row>
    <row r="12" ht="34" customHeight="1">
      <c r="A12" s="11" t="inlineStr">
        <is>
          <t>4. Which Excel auditing feature could help you inspect a selected KPI cell’s precedents?</t>
        </is>
      </c>
      <c r="E12" s="12" t="inlineStr">
        <is>
          <t>Type your answer here</t>
        </is>
      </c>
    </row>
    <row r="13" ht="34" customHeight="1">
      <c r="A13" s="11" t="inlineStr">
        <is>
          <t>5. If Gross Cost were wrong, which downstream KPI(s) would also be affected?</t>
        </is>
      </c>
      <c r="E13" s="12" t="inlineStr">
        <is>
          <t>Type your answer here</t>
        </is>
      </c>
    </row>
    <row r="16">
      <c r="A16" s="13" t="inlineStr">
        <is>
          <t>Order_ID</t>
        </is>
      </c>
      <c r="B16" s="13" t="inlineStr">
        <is>
          <t>Region</t>
        </is>
      </c>
      <c r="C16" s="13" t="inlineStr">
        <is>
          <t>Product</t>
        </is>
      </c>
      <c r="D16" s="13" t="inlineStr">
        <is>
          <t>Units</t>
        </is>
      </c>
      <c r="E16" s="13" t="inlineStr">
        <is>
          <t>Unit_Price</t>
        </is>
      </c>
      <c r="F16" s="13" t="inlineStr">
        <is>
          <t>Unit_Cost</t>
        </is>
      </c>
      <c r="G16" s="13" t="inlineStr">
        <is>
          <t>Gross_Sales</t>
        </is>
      </c>
      <c r="H16" s="13" t="inlineStr">
        <is>
          <t>Gross_Cost</t>
        </is>
      </c>
    </row>
    <row r="17">
      <c r="A17" s="14" t="inlineStr">
        <is>
          <t>O1</t>
        </is>
      </c>
      <c r="B17" s="14" t="inlineStr">
        <is>
          <t>North</t>
        </is>
      </c>
      <c r="C17" s="14" t="inlineStr">
        <is>
          <t>Laptop Pro</t>
        </is>
      </c>
      <c r="D17" s="14" t="n">
        <v>1</v>
      </c>
      <c r="E17" s="41" t="n">
        <v>1200</v>
      </c>
      <c r="F17" s="41" t="n">
        <v>800</v>
      </c>
      <c r="G17" s="47">
        <f>D17*E17</f>
        <v/>
      </c>
      <c r="H17" s="47">
        <f>D17*F17</f>
        <v/>
      </c>
    </row>
    <row r="18">
      <c r="A18" s="14" t="inlineStr">
        <is>
          <t>O2</t>
        </is>
      </c>
      <c r="B18" s="14" t="inlineStr">
        <is>
          <t>South</t>
        </is>
      </c>
      <c r="C18" s="14" t="inlineStr">
        <is>
          <t>Mouse X</t>
        </is>
      </c>
      <c r="D18" s="14" t="n">
        <v>3</v>
      </c>
      <c r="E18" s="41" t="n">
        <v>30</v>
      </c>
      <c r="F18" s="41" t="n">
        <v>12</v>
      </c>
      <c r="G18" s="47">
        <f>D18*E18</f>
        <v/>
      </c>
      <c r="H18" s="47">
        <f>D18*F18</f>
        <v/>
      </c>
      <c r="J18" s="13" t="inlineStr">
        <is>
          <t>KPI</t>
        </is>
      </c>
      <c r="K18" s="13" t="inlineStr">
        <is>
          <t>Formula / Value</t>
        </is>
      </c>
    </row>
    <row r="19">
      <c r="A19" s="14" t="inlineStr">
        <is>
          <t>O3</t>
        </is>
      </c>
      <c r="B19" s="14" t="inlineStr">
        <is>
          <t>West</t>
        </is>
      </c>
      <c r="C19" s="14" t="inlineStr">
        <is>
          <t>Laptop Air</t>
        </is>
      </c>
      <c r="D19" s="14" t="n">
        <v>1</v>
      </c>
      <c r="E19" s="41" t="n">
        <v>950</v>
      </c>
      <c r="F19" s="41" t="n">
        <v>650</v>
      </c>
      <c r="G19" s="47">
        <f>D19*E19</f>
        <v/>
      </c>
      <c r="H19" s="47">
        <f>D19*F19</f>
        <v/>
      </c>
      <c r="J19" t="inlineStr">
        <is>
          <t>Gross Sales</t>
        </is>
      </c>
      <c r="K19" s="42">
        <f>SUM(G17:G21)</f>
        <v/>
      </c>
    </row>
    <row r="20">
      <c r="A20" s="14" t="inlineStr">
        <is>
          <t>O4</t>
        </is>
      </c>
      <c r="B20" s="14" t="inlineStr">
        <is>
          <t>North</t>
        </is>
      </c>
      <c r="C20" s="14" t="inlineStr">
        <is>
          <t>Keyboard K</t>
        </is>
      </c>
      <c r="D20" s="14" t="n">
        <v>2</v>
      </c>
      <c r="E20" s="41" t="n">
        <v>75</v>
      </c>
      <c r="F20" s="41" t="n">
        <v>35</v>
      </c>
      <c r="G20" s="47">
        <f>D20*E20</f>
        <v/>
      </c>
      <c r="H20" s="47">
        <f>D20*F20</f>
        <v/>
      </c>
      <c r="J20" t="inlineStr">
        <is>
          <t>Gross Cost</t>
        </is>
      </c>
      <c r="K20" s="42">
        <f>SUM(H17:H21)</f>
        <v/>
      </c>
    </row>
    <row r="21">
      <c r="A21" s="14" t="inlineStr">
        <is>
          <t>O5</t>
        </is>
      </c>
      <c r="B21" s="14" t="inlineStr">
        <is>
          <t>South</t>
        </is>
      </c>
      <c r="C21" s="14" t="inlineStr">
        <is>
          <t>Mouse X</t>
        </is>
      </c>
      <c r="D21" s="14" t="n">
        <v>4</v>
      </c>
      <c r="E21" s="41" t="n">
        <v>30</v>
      </c>
      <c r="F21" s="41" t="n">
        <v>12</v>
      </c>
      <c r="G21" s="47">
        <f>D21*E21</f>
        <v/>
      </c>
      <c r="H21" s="47">
        <f>D21*F21</f>
        <v/>
      </c>
      <c r="J21" t="inlineStr">
        <is>
          <t>Gross Profit</t>
        </is>
      </c>
      <c r="K21" s="42">
        <f>K19-K20</f>
        <v/>
      </c>
    </row>
    <row r="22">
      <c r="J22" t="inlineStr">
        <is>
          <t>Margin %</t>
        </is>
      </c>
      <c r="K22" s="48">
        <f>K21/K19</f>
        <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5B9BD5"/>
    <outlinePr summaryBelow="1" summaryRight="1"/>
    <pageSetUpPr fitToPage="1"/>
  </sheetPr>
  <dimension ref="A1:H2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08 — Hidden Dependency</t>
        </is>
      </c>
    </row>
    <row r="2">
      <c r="A2" s="9" t="inlineStr">
        <is>
          <t>Capability</t>
        </is>
      </c>
      <c r="B2" s="54" t="inlineStr">
        <is>
          <t>Identify formulas that depend on hidden workbook content</t>
        </is>
      </c>
    </row>
    <row r="3">
      <c r="A3" s="9" t="inlineStr">
        <is>
          <t>Difficulty</t>
        </is>
      </c>
      <c r="B3" s="9" t="inlineStr">
        <is>
          <t>Intermediate</t>
        </is>
      </c>
    </row>
    <row r="5">
      <c r="A5" s="3" t="inlineStr">
        <is>
          <t>Scenario</t>
        </is>
      </c>
      <c r="B5" s="2" t="inlineStr">
        <is>
          <t>A visible pricing sheet converts EUR list prices to USD. The conversion appears in formulas, but the rate is not visible on this sheet. Find where the dependency lives before changing anything.</t>
        </is>
      </c>
    </row>
    <row r="6"/>
    <row r="8">
      <c r="A8" s="3" t="inlineStr">
        <is>
          <t>Your task</t>
        </is>
      </c>
    </row>
    <row r="9" ht="34" customHeight="1">
      <c r="A9" s="11" t="inlineStr">
        <is>
          <t>1. Which formula cell(s) depend on another worksheet?</t>
        </is>
      </c>
      <c r="E9" s="12" t="inlineStr">
        <is>
          <t>Type your answer here</t>
        </is>
      </c>
    </row>
    <row r="10" ht="34" customHeight="1">
      <c r="A10" s="11" t="inlineStr">
        <is>
          <t>2. What worksheet is referenced by the formula?</t>
        </is>
      </c>
      <c r="E10" s="12" t="inlineStr">
        <is>
          <t>Type your answer here</t>
        </is>
      </c>
    </row>
    <row r="11" ht="34" customHeight="1">
      <c r="A11" s="11" t="inlineStr">
        <is>
          <t>3. Is that worksheet currently visible? How would you inspect it safely?</t>
        </is>
      </c>
      <c r="E11" s="12" t="inlineStr">
        <is>
          <t>Type your answer here</t>
        </is>
      </c>
    </row>
    <row r="12" ht="34" customHeight="1">
      <c r="A12" s="11" t="inlineStr">
        <is>
          <t>4. What business assumption is stored there?</t>
        </is>
      </c>
      <c r="E12" s="12" t="inlineStr">
        <is>
          <t>Type your answer here</t>
        </is>
      </c>
    </row>
    <row r="13" ht="34" customHeight="1">
      <c r="A13" s="11" t="inlineStr">
        <is>
          <t>5. Why should you understand the dependency before editing or replacing the formula?</t>
        </is>
      </c>
      <c r="E13" s="12" t="inlineStr">
        <is>
          <t>Type your answer here</t>
        </is>
      </c>
    </row>
    <row r="16">
      <c r="A16" s="13" t="inlineStr">
        <is>
          <t>Product_ID</t>
        </is>
      </c>
      <c r="B16" s="13" t="inlineStr">
        <is>
          <t>Product</t>
        </is>
      </c>
      <c r="C16" s="13" t="inlineStr">
        <is>
          <t>EUR_List_Price</t>
        </is>
      </c>
      <c r="D16" s="13" t="inlineStr">
        <is>
          <t>USD_List_Price</t>
        </is>
      </c>
    </row>
    <row r="17">
      <c r="A17" s="14" t="inlineStr">
        <is>
          <t>P01</t>
        </is>
      </c>
      <c r="B17" s="14" t="inlineStr">
        <is>
          <t>Laptop Pro</t>
        </is>
      </c>
      <c r="C17" s="49" t="n">
        <v>1050</v>
      </c>
      <c r="D17" s="43">
        <f>C17*'08_RATES_REF'!$B$2</f>
        <v/>
      </c>
    </row>
    <row r="18">
      <c r="A18" s="14" t="inlineStr">
        <is>
          <t>P02</t>
        </is>
      </c>
      <c r="B18" s="14" t="inlineStr">
        <is>
          <t>Laptop Air</t>
        </is>
      </c>
      <c r="C18" s="49" t="n">
        <v>830</v>
      </c>
      <c r="D18" s="43">
        <f>C18*'08_RATES_REF'!$B$2</f>
        <v/>
      </c>
    </row>
    <row r="19">
      <c r="A19" s="14" t="inlineStr">
        <is>
          <t>P03</t>
        </is>
      </c>
      <c r="B19" s="14" t="inlineStr">
        <is>
          <t>Mouse X</t>
        </is>
      </c>
      <c r="C19" s="49" t="n">
        <v>26</v>
      </c>
      <c r="D19" s="43">
        <f>C19*'08_RATES_REF'!$B$2</f>
        <v/>
      </c>
    </row>
    <row r="20">
      <c r="A20" s="14" t="inlineStr">
        <is>
          <t>P04</t>
        </is>
      </c>
      <c r="B20" s="14" t="inlineStr">
        <is>
          <t>Keyboard K</t>
        </is>
      </c>
      <c r="C20" s="49" t="n">
        <v>65</v>
      </c>
      <c r="D20" s="43">
        <f>C20*'08_RATES_REF'!$B$2</f>
        <v/>
      </c>
    </row>
  </sheetData>
  <mergeCells count="14">
    <mergeCell ref="A9:D9"/>
    <mergeCell ref="E9:H9"/>
    <mergeCell ref="A11:D11"/>
    <mergeCell ref="A12:D12"/>
    <mergeCell ref="E10:H10"/>
    <mergeCell ref="E12:H12"/>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13.xml><?xml version="1.0" encoding="utf-8"?>
<worksheet xmlns="http://schemas.openxmlformats.org/spreadsheetml/2006/main">
  <sheetPr>
    <tabColor rgb="00A5A5A5"/>
    <outlinePr summaryBelow="1" summaryRight="1"/>
    <pageSetUpPr fitToPage="1"/>
  </sheetPr>
  <dimension ref="A1:B3"/>
  <sheetViews>
    <sheetView workbookViewId="0">
      <selection activeCell="A1" sqref="A1"/>
    </sheetView>
  </sheetViews>
  <sheetFormatPr baseColWidth="8" defaultRowHeight="15"/>
  <sheetData>
    <row r="1">
      <c r="A1" s="13" t="inlineStr">
        <is>
          <t>Assumption</t>
        </is>
      </c>
      <c r="B1" s="13" t="inlineStr">
        <is>
          <t>Value</t>
        </is>
      </c>
    </row>
    <row r="2">
      <c r="A2" t="inlineStr">
        <is>
          <t>EUR_to_USD</t>
        </is>
      </c>
      <c r="B2" s="30" t="n">
        <v>1.09</v>
      </c>
    </row>
    <row r="3">
      <c r="A3" t="inlineStr">
        <is>
          <t>Last_updated</t>
        </is>
      </c>
      <c r="B3" s="50" t="n">
        <v>46235</v>
      </c>
    </row>
  </sheetData>
  <pageMargins left="0.75" right="0.75" top="1" bottom="1" header="0.5" footer="0.5"/>
</worksheet>
</file>

<file path=xl/worksheets/sheet14.xml><?xml version="1.0" encoding="utf-8"?>
<worksheet xmlns="http://schemas.openxmlformats.org/spreadsheetml/2006/main">
  <sheetPr>
    <tabColor rgb="005B9BD5"/>
    <outlinePr summaryBelow="1" summaryRight="1"/>
    <pageSetUpPr/>
  </sheetPr>
  <dimension ref="A1:M23"/>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17" t="inlineStr">
        <is>
          <t>Exercise 09 — PivotTable Discovery</t>
        </is>
      </c>
    </row>
    <row r="2">
      <c r="A2" s="9" t="inlineStr">
        <is>
          <t>Capability</t>
        </is>
      </c>
      <c r="B2" s="54" t="inlineStr">
        <is>
          <t>Inspect Pivot logic: source, fields, aggregation, and display logic</t>
        </is>
      </c>
    </row>
    <row r="3">
      <c r="A3" s="9" t="inlineStr">
        <is>
          <t>Difficulty</t>
        </is>
      </c>
      <c r="B3" s="9" t="inlineStr">
        <is>
          <t>Intermediate</t>
        </is>
      </c>
    </row>
    <row r="5">
      <c r="A5" s="3" t="inlineStr">
        <is>
          <t>Scenario</t>
        </is>
      </c>
      <c r="B5" s="2" t="inlineStr">
        <is>
          <t>You inherit a report that contains a PivotTable-style summary. In a real workbook you would click inside the PivotTable and inspect its source, Fields pane, Value Field Settings, and Show Values As. This portable exercise reproduces the source data and output logic without embedding a live Pivot object.</t>
        </is>
      </c>
    </row>
    <row r="6"/>
    <row r="8">
      <c r="A8" s="3" t="inlineStr">
        <is>
          <t>Your task</t>
        </is>
      </c>
    </row>
    <row r="9" ht="34" customHeight="1">
      <c r="A9" s="51" t="inlineStr">
        <is>
          <t>1. From the summary, what field is acting as the row dimension?</t>
        </is>
      </c>
      <c r="E9" s="12" t="inlineStr">
        <is>
          <t>Type your answer here</t>
        </is>
      </c>
    </row>
    <row r="10" ht="34" customHeight="1">
      <c r="A10" s="51" t="inlineStr">
        <is>
          <t>2. What measures are being summarized, and what aggregation is used for each?</t>
        </is>
      </c>
      <c r="E10" s="12" t="inlineStr">
        <is>
          <t>Type your answer here</t>
        </is>
      </c>
    </row>
    <row r="11" ht="34" customHeight="1">
      <c r="A11" s="51" t="inlineStr">
        <is>
          <t>3. What would you inspect in Excel to confirm the PivotTable source range or Table?</t>
        </is>
      </c>
      <c r="E11" s="12" t="inlineStr">
        <is>
          <t>Type your answer here</t>
        </is>
      </c>
    </row>
    <row r="12" ht="34" customHeight="1">
      <c r="A12" s="51" t="inlineStr">
        <is>
          <t>4. What setting would you inspect to distinguish Sum of Revenue from Count of Revenue or Average of Revenue?</t>
        </is>
      </c>
      <c r="E12" s="12" t="inlineStr">
        <is>
          <t>Type your answer here</t>
        </is>
      </c>
    </row>
    <row r="13" ht="34" customHeight="1">
      <c r="A13" s="51" t="inlineStr">
        <is>
          <t>5. If the displayed value were “% of Grand Total” rather than the raw sum, where would you verify that in a real PivotTable?</t>
        </is>
      </c>
      <c r="E13" s="12" t="inlineStr">
        <is>
          <t>Type your answer here</t>
        </is>
      </c>
    </row>
    <row r="16">
      <c r="A16" s="13" t="inlineStr">
        <is>
          <t>Order_ID</t>
        </is>
      </c>
      <c r="B16" s="13" t="inlineStr">
        <is>
          <t>Date</t>
        </is>
      </c>
      <c r="C16" s="13" t="inlineStr">
        <is>
          <t>Region</t>
        </is>
      </c>
      <c r="D16" s="13" t="inlineStr">
        <is>
          <t>Product</t>
        </is>
      </c>
      <c r="E16" s="13" t="inlineStr">
        <is>
          <t>Revenue</t>
        </is>
      </c>
      <c r="H16" s="13" t="inlineStr">
        <is>
          <t>Region</t>
        </is>
      </c>
      <c r="I16" s="13" t="inlineStr">
        <is>
          <t>Revenue</t>
        </is>
      </c>
      <c r="J16" s="13" t="inlineStr">
        <is>
          <t>Order Count</t>
        </is>
      </c>
      <c r="K16" s="13" t="inlineStr">
        <is>
          <t>% of Total</t>
        </is>
      </c>
    </row>
    <row r="17">
      <c r="A17" s="34" t="inlineStr">
        <is>
          <t>O1</t>
        </is>
      </c>
      <c r="B17" s="52" t="n">
        <v>46204</v>
      </c>
      <c r="C17" s="34" t="inlineStr">
        <is>
          <t>North</t>
        </is>
      </c>
      <c r="D17" s="34" t="inlineStr">
        <is>
          <t>Laptop Pro</t>
        </is>
      </c>
      <c r="E17" s="53" t="n">
        <v>1200</v>
      </c>
      <c r="H17" t="inlineStr">
        <is>
          <t>North</t>
        </is>
      </c>
      <c r="I17" s="42">
        <f>SUMIF($C$17:$C$22,H17,$E$17:$E$22)</f>
        <v/>
      </c>
      <c r="J17" s="36">
        <f>COUNTIF($C$17:$C$22,H17)</f>
        <v/>
      </c>
      <c r="K17" s="48">
        <f>I17/SUM($I$17:$I$19)</f>
        <v/>
      </c>
    </row>
    <row r="18">
      <c r="A18" s="34" t="inlineStr">
        <is>
          <t>O2</t>
        </is>
      </c>
      <c r="B18" s="52" t="n">
        <v>46204</v>
      </c>
      <c r="C18" s="34" t="inlineStr">
        <is>
          <t>South</t>
        </is>
      </c>
      <c r="D18" s="34" t="inlineStr">
        <is>
          <t>Mouse X</t>
        </is>
      </c>
      <c r="E18" s="53" t="n">
        <v>90</v>
      </c>
      <c r="H18" t="inlineStr">
        <is>
          <t>South</t>
        </is>
      </c>
      <c r="I18" s="42">
        <f>SUMIF($C$17:$C$22,H18,$E$17:$E$22)</f>
        <v/>
      </c>
      <c r="J18" s="36">
        <f>COUNTIF($C$17:$C$22,H18)</f>
        <v/>
      </c>
      <c r="K18" s="48">
        <f>I18/SUM($I$17:$I$19)</f>
        <v/>
      </c>
    </row>
    <row r="19">
      <c r="A19" s="34" t="inlineStr">
        <is>
          <t>O3</t>
        </is>
      </c>
      <c r="B19" s="52" t="n">
        <v>46205</v>
      </c>
      <c r="C19" s="34" t="inlineStr">
        <is>
          <t>West</t>
        </is>
      </c>
      <c r="D19" s="34" t="inlineStr">
        <is>
          <t>Laptop Air</t>
        </is>
      </c>
      <c r="E19" s="53" t="n">
        <v>950</v>
      </c>
      <c r="H19" t="inlineStr">
        <is>
          <t>West</t>
        </is>
      </c>
      <c r="I19" s="42">
        <f>SUMIF($C$17:$C$22,H19,$E$17:$E$22)</f>
        <v/>
      </c>
      <c r="J19" s="36">
        <f>COUNTIF($C$17:$C$22,H19)</f>
        <v/>
      </c>
      <c r="K19" s="48">
        <f>I19/SUM($I$17:$I$19)</f>
        <v/>
      </c>
    </row>
    <row r="20">
      <c r="A20" s="34" t="inlineStr">
        <is>
          <t>O4</t>
        </is>
      </c>
      <c r="B20" s="52" t="n">
        <v>46205</v>
      </c>
      <c r="C20" s="34" t="inlineStr">
        <is>
          <t>North</t>
        </is>
      </c>
      <c r="D20" s="34" t="inlineStr">
        <is>
          <t>Keyboard K</t>
        </is>
      </c>
      <c r="E20" s="53" t="n">
        <v>150</v>
      </c>
    </row>
    <row r="21">
      <c r="A21" s="34" t="inlineStr">
        <is>
          <t>O5</t>
        </is>
      </c>
      <c r="B21" s="52" t="n">
        <v>46206</v>
      </c>
      <c r="C21" s="34" t="inlineStr">
        <is>
          <t>South</t>
        </is>
      </c>
      <c r="D21" s="34" t="inlineStr">
        <is>
          <t>Mouse X</t>
        </is>
      </c>
      <c r="E21" s="53" t="n">
        <v>120</v>
      </c>
    </row>
    <row r="22">
      <c r="A22" s="34" t="inlineStr">
        <is>
          <t>O6</t>
        </is>
      </c>
      <c r="B22" s="52" t="n">
        <v>46207</v>
      </c>
      <c r="C22" s="34" t="inlineStr">
        <is>
          <t>North</t>
        </is>
      </c>
      <c r="D22" s="34" t="inlineStr">
        <is>
          <t>Mouse X</t>
        </is>
      </c>
      <c r="E22" s="53" t="n">
        <v>60</v>
      </c>
      <c r="H22" s="7" t="inlineStr">
        <is>
          <t>Important: this is not a live PivotTable object. It is a portable practice snapshot. The goal is to learn what you would verify in a real PivotTable before trusting the displayed numbers.</t>
        </is>
      </c>
    </row>
    <row r="23"/>
  </sheetData>
  <mergeCells count="15">
    <mergeCell ref="A9:D9"/>
    <mergeCell ref="E9:H9"/>
    <mergeCell ref="A11:D11"/>
    <mergeCell ref="A12:D12"/>
    <mergeCell ref="E10:H10"/>
    <mergeCell ref="E12:H12"/>
    <mergeCell ref="E11:H11"/>
    <mergeCell ref="B2:H2"/>
    <mergeCell ref="A13:D13"/>
    <mergeCell ref="A1:H1"/>
    <mergeCell ref="A10:D10"/>
    <mergeCell ref="A8:H8"/>
    <mergeCell ref="B5:H6"/>
    <mergeCell ref="H22:M23"/>
    <mergeCell ref="E13:H13"/>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5B9BD5"/>
    <outlinePr summaryBelow="1" summaryRight="1"/>
    <pageSetUpPr fitToPage="1"/>
  </sheetPr>
  <dimension ref="A1:H24"/>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10 — External / Connection Clues</t>
        </is>
      </c>
    </row>
    <row r="2">
      <c r="A2" s="9" t="inlineStr">
        <is>
          <t>Capability</t>
        </is>
      </c>
      <c r="B2" s="54" t="inlineStr">
        <is>
          <t>Recognize signs of external dependencies and choose safe inspection steps</t>
        </is>
      </c>
    </row>
    <row r="3">
      <c r="A3" s="9" t="inlineStr">
        <is>
          <t>Difficulty</t>
        </is>
      </c>
      <c r="B3" s="9" t="inlineStr">
        <is>
          <t>Intermediate</t>
        </is>
      </c>
    </row>
    <row r="5">
      <c r="A5" s="3" t="inlineStr">
        <is>
          <t>Scenario</t>
        </is>
      </c>
      <c r="B5" s="2" t="inlineStr">
        <is>
          <t>You open a workbook and find the evidence below. This exercise is about recognizing when you must inspect Workbook Links or Queries &amp; Connections before refreshing or breaking anything. The external sources are intentionally not live so the practice file remains portable.</t>
        </is>
      </c>
    </row>
    <row r="6"/>
    <row r="8">
      <c r="A8" s="3" t="inlineStr">
        <is>
          <t>Your task</t>
        </is>
      </c>
    </row>
    <row r="9" ht="34" customHeight="1">
      <c r="A9" s="11" t="inlineStr">
        <is>
          <t>1. Which clue suggests a dependency on another Excel workbook?</t>
        </is>
      </c>
      <c r="E9" s="12" t="inlineStr">
        <is>
          <t>Type your answer here</t>
        </is>
      </c>
    </row>
    <row r="10" ht="34" customHeight="1">
      <c r="A10" s="11" t="inlineStr">
        <is>
          <t>2. Which clue suggests data may be loaded by a query or connection rather than entered manually?</t>
        </is>
      </c>
      <c r="E10" s="12" t="inlineStr">
        <is>
          <t>Type your answer here</t>
        </is>
      </c>
    </row>
    <row r="11" ht="34" customHeight="1">
      <c r="A11" s="11" t="inlineStr">
        <is>
          <t>3. What would you inspect in Excel before using Refresh All?</t>
        </is>
      </c>
      <c r="E11" s="12" t="inlineStr">
        <is>
          <t>Type your answer here</t>
        </is>
      </c>
    </row>
    <row r="12" ht="34" customHeight="1">
      <c r="A12" s="11" t="inlineStr">
        <is>
          <t>4. Why would breaking an external link be a risky first action?</t>
        </is>
      </c>
      <c r="E12" s="12" t="inlineStr">
        <is>
          <t>Type your answer here</t>
        </is>
      </c>
    </row>
    <row r="13" ht="34" customHeight="1">
      <c r="A13" s="11" t="inlineStr">
        <is>
          <t>5. Which of these clues affect workbook discovery even before you analyze the data values?</t>
        </is>
      </c>
      <c r="E13" s="12" t="inlineStr">
        <is>
          <t>Type your answer here</t>
        </is>
      </c>
    </row>
    <row r="16">
      <c r="A16" s="13" t="inlineStr">
        <is>
          <t>Evidence type</t>
        </is>
      </c>
      <c r="B16" s="13" t="inlineStr">
        <is>
          <t>What you see in the workbook</t>
        </is>
      </c>
      <c r="C16" s="13" t="inlineStr">
        <is>
          <t>Status</t>
        </is>
      </c>
    </row>
    <row r="17">
      <c r="A17" s="32" t="inlineStr">
        <is>
          <t>Formula clue</t>
        </is>
      </c>
      <c r="B17" s="32">
        <f>'[Pricing_Master.xlsx]Rates'!$B$2</f>
        <v/>
      </c>
      <c r="C17" s="32" t="inlineStr">
        <is>
          <t>External workbook reference</t>
        </is>
      </c>
    </row>
    <row r="18">
      <c r="A18" s="32" t="inlineStr">
        <is>
          <t>Query clue</t>
        </is>
      </c>
      <c r="B18" s="32" t="inlineStr">
        <is>
          <t>Query name: Sales_Import | Load to: tbl_Sales</t>
        </is>
      </c>
      <c r="C18" s="32" t="inlineStr">
        <is>
          <t>Connection metadata</t>
        </is>
      </c>
    </row>
    <row r="19">
      <c r="A19" s="32" t="inlineStr">
        <is>
          <t>Refresh clue</t>
        </is>
      </c>
      <c r="B19" s="32" t="inlineStr">
        <is>
          <t>Last refreshed: 2026-08-01 07:00</t>
        </is>
      </c>
      <c r="C19" s="32" t="inlineStr">
        <is>
          <t>Potentially stale</t>
        </is>
      </c>
    </row>
    <row r="20">
      <c r="A20" s="32" t="inlineStr">
        <is>
          <t>Output clue</t>
        </is>
      </c>
      <c r="B20" s="32" t="inlineStr">
        <is>
          <t>Dashboard formulas reference tbl_Sales</t>
        </is>
      </c>
      <c r="C20" s="32" t="inlineStr">
        <is>
          <t>Downstream dependency</t>
        </is>
      </c>
    </row>
    <row r="23">
      <c r="A23" s="33" t="inlineStr">
        <is>
          <t>This sheet does not contain a live external connection. It trains recognition and safe decision-making; a live Power Query/Pivot workbook should be practiced separately in Excel.</t>
        </is>
      </c>
    </row>
    <row r="24"/>
  </sheetData>
  <mergeCells count="15">
    <mergeCell ref="A9:D9"/>
    <mergeCell ref="E9:H9"/>
    <mergeCell ref="A11:D11"/>
    <mergeCell ref="A12:D12"/>
    <mergeCell ref="E10:H10"/>
    <mergeCell ref="E12:H12"/>
    <mergeCell ref="A23:H24"/>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16.xml><?xml version="1.0" encoding="utf-8"?>
<worksheet xmlns="http://schemas.openxmlformats.org/spreadsheetml/2006/main">
  <sheetPr>
    <tabColor rgb="005B9BD5"/>
    <outlinePr summaryBelow="1" summaryRight="1"/>
    <pageSetUpPr fitToPage="1"/>
  </sheetPr>
  <dimension ref="A1:H19"/>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11 — Business Question → Data</t>
        </is>
      </c>
    </row>
    <row r="2">
      <c r="A2" s="9" t="inlineStr">
        <is>
          <t>Capability</t>
        </is>
      </c>
      <c r="B2" s="54" t="inlineStr">
        <is>
          <t>Translate questions into fields, grain, joins, and derived metrics</t>
        </is>
      </c>
    </row>
    <row r="3">
      <c r="A3" s="9" t="inlineStr">
        <is>
          <t>Difficulty</t>
        </is>
      </c>
      <c r="B3" s="9" t="inlineStr">
        <is>
          <t>Intermediate</t>
        </is>
      </c>
    </row>
    <row r="5">
      <c r="A5" s="3" t="inlineStr">
        <is>
          <t>Scenario</t>
        </is>
      </c>
      <c r="B5" s="2" t="inlineStr">
        <is>
          <t>You are given three available datasets. Do not solve the business questions. For each one, identify what data is required and whether a join or calculated metric is needed.</t>
        </is>
      </c>
    </row>
    <row r="6"/>
    <row r="8">
      <c r="A8" s="3" t="inlineStr">
        <is>
          <t>Your task</t>
        </is>
      </c>
    </row>
    <row r="9" ht="34" customHeight="1">
      <c r="A9" s="11" t="inlineStr">
        <is>
          <t>1. Which category generated the highest revenue in Q2?</t>
        </is>
      </c>
      <c r="E9" s="12" t="inlineStr">
        <is>
          <t>Type your answer here</t>
        </is>
      </c>
    </row>
    <row r="10" ht="34" customHeight="1">
      <c r="A10" s="11" t="inlineStr">
        <is>
          <t>2. Which customer segment had the highest average order value?</t>
        </is>
      </c>
      <c r="E10" s="12" t="inlineStr">
        <is>
          <t>Type your answer here</t>
        </is>
      </c>
    </row>
    <row r="11" ht="34" customHeight="1">
      <c r="A11" s="11" t="inlineStr">
        <is>
          <t>3. Which product had the highest unit sales in the North region?</t>
        </is>
      </c>
      <c r="E11" s="12" t="inlineStr">
        <is>
          <t>Type your answer here</t>
        </is>
      </c>
    </row>
    <row r="12" ht="34" customHeight="1">
      <c r="A12" s="11" t="inlineStr">
        <is>
          <t>4. What was profit by month?</t>
        </is>
      </c>
      <c r="E12" s="12" t="inlineStr">
        <is>
          <t>Type your answer here</t>
        </is>
      </c>
    </row>
    <row r="13" ht="34" customHeight="1">
      <c r="A13" s="11" t="inlineStr">
        <is>
          <t>5. Which customer had the best performance? Is this question answerable as written?</t>
        </is>
      </c>
      <c r="E13" s="12" t="inlineStr">
        <is>
          <t>Type your answer here</t>
        </is>
      </c>
    </row>
    <row r="16">
      <c r="A16" s="13" t="inlineStr">
        <is>
          <t>Dataset</t>
        </is>
      </c>
      <c r="B16" s="13" t="inlineStr">
        <is>
          <t>Available fields</t>
        </is>
      </c>
    </row>
    <row r="17">
      <c r="A17" s="34" t="inlineStr">
        <is>
          <t>Sales</t>
        </is>
      </c>
      <c r="B17" s="35" t="inlineStr">
        <is>
          <t>Order_Line_ID, Order_ID, Date, Customer_ID, Product_ID, Region, Units, Unit_Price</t>
        </is>
      </c>
    </row>
    <row r="18">
      <c r="A18" s="34" t="inlineStr">
        <is>
          <t>Products</t>
        </is>
      </c>
      <c r="B18" s="35" t="inlineStr">
        <is>
          <t>Product_ID, Product, Category, Unit_Cost</t>
        </is>
      </c>
    </row>
    <row r="19">
      <c r="A19" s="34" t="inlineStr">
        <is>
          <t>Customers</t>
        </is>
      </c>
      <c r="B19" s="35" t="inlineStr">
        <is>
          <t>Customer_ID, Customer_Name, Segment</t>
        </is>
      </c>
    </row>
  </sheetData>
  <mergeCells count="17">
    <mergeCell ref="A9:D9"/>
    <mergeCell ref="E9:H9"/>
    <mergeCell ref="B17:H17"/>
    <mergeCell ref="B18:H18"/>
    <mergeCell ref="A11:D11"/>
    <mergeCell ref="A12:D12"/>
    <mergeCell ref="E10:H10"/>
    <mergeCell ref="E12:H12"/>
    <mergeCell ref="E11:H11"/>
    <mergeCell ref="B2:H2"/>
    <mergeCell ref="A13:D13"/>
    <mergeCell ref="A1:H1"/>
    <mergeCell ref="A10:D10"/>
    <mergeCell ref="B19:H19"/>
    <mergeCell ref="A8:H8"/>
    <mergeCell ref="B5:H6"/>
    <mergeCell ref="E13:H13"/>
  </mergeCells>
  <pageMargins left="0.25" right="0.25" top="0.5" bottom="0.5" header="0.5" footer="0.5"/>
  <pageSetup fitToWidth="1"/>
</worksheet>
</file>

<file path=xl/worksheets/sheet17.xml><?xml version="1.0" encoding="utf-8"?>
<worksheet xmlns="http://schemas.openxmlformats.org/spreadsheetml/2006/main">
  <sheetPr>
    <tabColor rgb="005B9BD5"/>
    <outlinePr summaryBelow="1" summaryRight="1"/>
    <pageSetUpPr fitToPage="1"/>
  </sheetPr>
  <dimension ref="A1:H17"/>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12 — Missing Information &amp; Ambiguity</t>
        </is>
      </c>
    </row>
    <row r="2">
      <c r="A2" s="9" t="inlineStr">
        <is>
          <t>Capability</t>
        </is>
      </c>
      <c r="B2" s="54" t="inlineStr">
        <is>
          <t>Detect requests that cannot be answered safely without a definition or missing data</t>
        </is>
      </c>
    </row>
    <row r="3">
      <c r="A3" s="9" t="inlineStr">
        <is>
          <t>Difficulty</t>
        </is>
      </c>
      <c r="B3" s="9" t="inlineStr">
        <is>
          <t>Intermediate</t>
        </is>
      </c>
    </row>
    <row r="5">
      <c r="A5" s="3" t="inlineStr">
        <is>
          <t>Scenario</t>
        </is>
      </c>
      <c r="B5" s="2" t="inlineStr">
        <is>
          <t>A take-home assignment contains vague questions. Strong analysis includes recognizing when the problem definition is incomplete instead of silently choosing an arbitrary interpretation.</t>
        </is>
      </c>
    </row>
    <row r="6"/>
    <row r="8">
      <c r="A8" s="3" t="inlineStr">
        <is>
          <t>Your task</t>
        </is>
      </c>
    </row>
    <row r="9" ht="34" customHeight="1">
      <c r="A9" s="11" t="inlineStr">
        <is>
          <t>1. “Which customer is best?” — What definition is missing?</t>
        </is>
      </c>
      <c r="E9" s="12" t="inlineStr">
        <is>
          <t>Type your answer here</t>
        </is>
      </c>
    </row>
    <row r="10" ht="34" customHeight="1">
      <c r="A10" s="11" t="inlineStr">
        <is>
          <t>2. “Calculate profit by product.” You have Revenue but no Cost field. What is missing?</t>
        </is>
      </c>
      <c r="E10" s="12" t="inlineStr">
        <is>
          <t>Type your answer here</t>
        </is>
      </c>
    </row>
    <row r="11" ht="34" customHeight="1">
      <c r="A11" s="11" t="inlineStr">
        <is>
          <t>3. “Show monthly growth.” The dataset contains only July data. Can the request be answered?</t>
        </is>
      </c>
      <c r="E11" s="12" t="inlineStr">
        <is>
          <t>Type your answer here</t>
        </is>
      </c>
    </row>
    <row r="12" ht="34" customHeight="1">
      <c r="A12" s="11" t="inlineStr">
        <is>
          <t>4. “Find the top region.” What measure must be defined before ranking regions?</t>
        </is>
      </c>
      <c r="E12" s="12" t="inlineStr">
        <is>
          <t>Type your answer here</t>
        </is>
      </c>
    </row>
    <row r="13" ht="34" customHeight="1">
      <c r="A13" s="11" t="inlineStr">
        <is>
          <t>5. “Calculate average order value.” Sales is at order-line grain. What grain/denominator issue must be resolved first?</t>
        </is>
      </c>
      <c r="E13" s="12" t="inlineStr">
        <is>
          <t>Type your answer here</t>
        </is>
      </c>
    </row>
    <row r="16">
      <c r="A16" s="6" t="inlineStr">
        <is>
          <t>Your goal is not to invent assumptions. State exactly what is ambiguous or unavailable and what definition/data would resolve it.</t>
        </is>
      </c>
    </row>
    <row r="17"/>
  </sheetData>
  <mergeCells count="15">
    <mergeCell ref="A9:D9"/>
    <mergeCell ref="E9:H9"/>
    <mergeCell ref="A11:D11"/>
    <mergeCell ref="A12:D12"/>
    <mergeCell ref="E10:H10"/>
    <mergeCell ref="E12:H12"/>
    <mergeCell ref="A16:H17"/>
    <mergeCell ref="E11:H11"/>
    <mergeCell ref="B2:H2"/>
    <mergeCell ref="A13:D13"/>
    <mergeCell ref="A1:H1"/>
    <mergeCell ref="A10:D10"/>
    <mergeCell ref="A8:H8"/>
    <mergeCell ref="B5:H6"/>
    <mergeCell ref="E13:H13"/>
  </mergeCells>
  <pageMargins left="0.25" right="0.25" top="0.5" bottom="0.5" header="0.5" footer="0.5"/>
  <pageSetup fitToWidth="1"/>
</worksheet>
</file>

<file path=xl/worksheets/sheet18.xml><?xml version="1.0" encoding="utf-8"?>
<worksheet xmlns="http://schemas.openxmlformats.org/spreadsheetml/2006/main">
  <sheetPr>
    <tabColor rgb="005B9BD5"/>
    <outlinePr summaryBelow="1" summaryRight="1"/>
    <pageSetUpPr fitToPage="1"/>
  </sheetPr>
  <dimension ref="A1:H4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13 — Data Quality Quick Scan</t>
        </is>
      </c>
    </row>
    <row r="2">
      <c r="A2" s="9" t="inlineStr">
        <is>
          <t>Capability</t>
        </is>
      </c>
      <c r="B2" s="54" t="inlineStr">
        <is>
          <t>Detect data-quality risks before analysis</t>
        </is>
      </c>
    </row>
    <row r="3">
      <c r="A3" s="9" t="inlineStr">
        <is>
          <t>Difficulty</t>
        </is>
      </c>
      <c r="B3" s="9" t="inlineStr">
        <is>
          <t>Foundation → Intermediate</t>
        </is>
      </c>
    </row>
    <row r="5">
      <c r="A5" s="3" t="inlineStr">
        <is>
          <t>Scenario</t>
        </is>
      </c>
      <c r="B5" s="2" t="inlineStr">
        <is>
          <t>You receive a transaction extract that looks usable at first glance. Do not clean it and do not calculate results. Inspect the values, types, blanks, labels, and identifier behavior first.</t>
        </is>
      </c>
    </row>
    <row r="6"/>
    <row r="8">
      <c r="A8" s="3" t="inlineStr">
        <is>
          <t>Your task</t>
        </is>
      </c>
    </row>
    <row r="9" ht="34" customHeight="1">
      <c r="A9" s="11" t="inlineStr">
        <is>
          <t>1. What does one row represent, and what is the intended row-level identifier?</t>
        </is>
      </c>
      <c r="E9" s="12" t="inlineStr">
        <is>
          <t>Type your answer here</t>
        </is>
      </c>
    </row>
    <row r="10" ht="34" customHeight="1">
      <c r="A10" s="11" t="inlineStr">
        <is>
          <t>2. Is the intended identifier actually unique? What evidence do you see?</t>
        </is>
      </c>
      <c r="E10" s="12" t="inlineStr">
        <is>
          <t>Type your answer here</t>
        </is>
      </c>
    </row>
    <row r="11" ht="34" customHeight="1">
      <c r="A11" s="11" t="inlineStr">
        <is>
          <t>3. Which fields contain missing values that could affect analysis?</t>
        </is>
      </c>
      <c r="E11" s="12" t="inlineStr">
        <is>
          <t>Type your answer here</t>
        </is>
      </c>
    </row>
    <row r="12" ht="34" customHeight="1">
      <c r="A12" s="11" t="inlineStr">
        <is>
          <t>4. Which fields contain inconsistent underlying data types?</t>
        </is>
      </c>
      <c r="E12" s="12" t="inlineStr">
        <is>
          <t>Type your answer here</t>
        </is>
      </c>
    </row>
    <row r="13" ht="34" customHeight="1">
      <c r="A13" s="11" t="inlineStr">
        <is>
          <t>5. Which label inconsistency could split one logical category into multiple groups?</t>
        </is>
      </c>
      <c r="E13" s="12" t="inlineStr">
        <is>
          <t>Type your answer here</t>
        </is>
      </c>
    </row>
    <row r="14" ht="34" customHeight="1">
      <c r="A14" s="11" t="inlineStr">
        <is>
          <t>6. Which issues would you resolve or document before analyzing revenue?</t>
        </is>
      </c>
      <c r="E14" s="12" t="inlineStr">
        <is>
          <t>Type your answer here</t>
        </is>
      </c>
    </row>
    <row r="16">
      <c r="A16" s="13" t="n"/>
      <c r="B16" s="13" t="n"/>
      <c r="C16" s="13" t="n"/>
      <c r="D16" s="13" t="n"/>
      <c r="E16" s="13" t="n"/>
      <c r="F16" s="13" t="n"/>
      <c r="G16" s="13" t="n"/>
      <c r="H16" s="13" t="n"/>
    </row>
    <row r="17">
      <c r="A17" s="13" t="inlineStr">
        <is>
          <t>Transaction_ID</t>
        </is>
      </c>
      <c r="B17" s="13" t="inlineStr">
        <is>
          <t>Date</t>
        </is>
      </c>
      <c r="C17" s="13" t="inlineStr">
        <is>
          <t>Customer_ID</t>
        </is>
      </c>
      <c r="D17" s="13" t="inlineStr">
        <is>
          <t>Product_ID</t>
        </is>
      </c>
      <c r="E17" s="13" t="inlineStr">
        <is>
          <t>Category</t>
        </is>
      </c>
      <c r="F17" s="13" t="inlineStr">
        <is>
          <t>Region</t>
        </is>
      </c>
      <c r="G17" s="13" t="inlineStr">
        <is>
          <t>Units</t>
        </is>
      </c>
      <c r="H17" s="13" t="inlineStr">
        <is>
          <t>Unit_Price</t>
        </is>
      </c>
    </row>
    <row r="18">
      <c r="A18" s="14" t="inlineStr">
        <is>
          <t>T001</t>
        </is>
      </c>
      <c r="B18" s="40" t="n">
        <v>46204</v>
      </c>
      <c r="C18" s="14" t="inlineStr">
        <is>
          <t>C101</t>
        </is>
      </c>
      <c r="D18" s="14" t="inlineStr">
        <is>
          <t>P01</t>
        </is>
      </c>
      <c r="E18" s="14" t="inlineStr">
        <is>
          <t>Computers</t>
        </is>
      </c>
      <c r="F18" s="14" t="inlineStr">
        <is>
          <t>North</t>
        </is>
      </c>
      <c r="G18" s="14" t="n">
        <v>1</v>
      </c>
      <c r="H18" s="41" t="n">
        <v>1200</v>
      </c>
    </row>
    <row r="19">
      <c r="A19" s="14" t="inlineStr">
        <is>
          <t>T002</t>
        </is>
      </c>
      <c r="B19" s="40" t="n">
        <v>46204</v>
      </c>
      <c r="C19" s="14" t="inlineStr">
        <is>
          <t>C102</t>
        </is>
      </c>
      <c r="D19" s="14" t="inlineStr">
        <is>
          <t>P03</t>
        </is>
      </c>
      <c r="E19" s="14" t="inlineStr">
        <is>
          <t>Accessories</t>
        </is>
      </c>
      <c r="F19" s="14" t="inlineStr">
        <is>
          <t>South</t>
        </is>
      </c>
      <c r="G19" s="14" t="n">
        <v>3</v>
      </c>
      <c r="H19" s="41" t="n">
        <v>30</v>
      </c>
    </row>
    <row r="20">
      <c r="A20" s="14" t="inlineStr">
        <is>
          <t>T003</t>
        </is>
      </c>
      <c r="B20" s="40" t="n">
        <v>46205</v>
      </c>
      <c r="C20" s="14" t="inlineStr">
        <is>
          <t>C103</t>
        </is>
      </c>
      <c r="D20" s="14" t="inlineStr">
        <is>
          <t>P02</t>
        </is>
      </c>
      <c r="E20" s="14" t="inlineStr">
        <is>
          <t>Computers</t>
        </is>
      </c>
      <c r="F20" s="14" t="inlineStr">
        <is>
          <t>West</t>
        </is>
      </c>
      <c r="G20" s="14" t="n">
        <v>1</v>
      </c>
      <c r="H20" s="41" t="n">
        <v>950</v>
      </c>
    </row>
    <row r="21">
      <c r="A21" s="14" t="inlineStr">
        <is>
          <t>T003</t>
        </is>
      </c>
      <c r="B21" s="40" t="n">
        <v>46205</v>
      </c>
      <c r="C21" s="14" t="inlineStr">
        <is>
          <t>C104</t>
        </is>
      </c>
      <c r="D21" s="14" t="inlineStr">
        <is>
          <t>P04</t>
        </is>
      </c>
      <c r="E21" s="14" t="inlineStr">
        <is>
          <t>Accessories</t>
        </is>
      </c>
      <c r="F21" s="14" t="inlineStr">
        <is>
          <t>East</t>
        </is>
      </c>
      <c r="G21" s="14" t="n">
        <v>2</v>
      </c>
      <c r="H21" s="41" t="n">
        <v>75</v>
      </c>
    </row>
    <row r="22">
      <c r="A22" s="14" t="inlineStr">
        <is>
          <t>T005</t>
        </is>
      </c>
      <c r="B22" s="40" t="n">
        <v>46206</v>
      </c>
      <c r="C22" s="14" t="inlineStr">
        <is>
          <t>C105</t>
        </is>
      </c>
      <c r="D22" s="14" t="inlineStr">
        <is>
          <t>P03</t>
        </is>
      </c>
      <c r="E22" s="14" t="inlineStr">
        <is>
          <t xml:space="preserve">Accessories </t>
        </is>
      </c>
      <c r="F22" s="14" t="inlineStr">
        <is>
          <t>South</t>
        </is>
      </c>
      <c r="G22" s="14" t="inlineStr">
        <is>
          <t>4</t>
        </is>
      </c>
      <c r="H22" s="41" t="n">
        <v>30</v>
      </c>
    </row>
    <row r="23">
      <c r="A23" s="14" t="inlineStr">
        <is>
          <t>T006</t>
        </is>
      </c>
      <c r="B23" s="40" t="inlineStr">
        <is>
          <t>2026-07-04</t>
        </is>
      </c>
      <c r="C23" s="14" t="inlineStr">
        <is>
          <t>C106</t>
        </is>
      </c>
      <c r="D23" s="14" t="inlineStr">
        <is>
          <t>P01</t>
        </is>
      </c>
      <c r="E23" s="14" t="inlineStr">
        <is>
          <t>Computers</t>
        </is>
      </c>
      <c r="F23" s="14" t="n"/>
      <c r="G23" s="14" t="n">
        <v>1</v>
      </c>
      <c r="H23" s="41" t="n">
        <v>1200</v>
      </c>
    </row>
    <row r="24">
      <c r="A24" s="14" t="inlineStr">
        <is>
          <t>T007</t>
        </is>
      </c>
      <c r="B24" s="40" t="n">
        <v>46207</v>
      </c>
      <c r="C24" s="14" t="n"/>
      <c r="D24" s="14" t="inlineStr">
        <is>
          <t>P03</t>
        </is>
      </c>
      <c r="E24" s="14" t="inlineStr">
        <is>
          <t>accessories</t>
        </is>
      </c>
      <c r="F24" s="14" t="inlineStr">
        <is>
          <t>North</t>
        </is>
      </c>
      <c r="G24" s="14" t="n">
        <v>2</v>
      </c>
      <c r="H24" s="41" t="n">
        <v>30</v>
      </c>
    </row>
    <row r="25">
      <c r="A25" s="14" t="inlineStr">
        <is>
          <t>T008</t>
        </is>
      </c>
      <c r="B25" s="40" t="n">
        <v>46208</v>
      </c>
      <c r="C25" s="14" t="inlineStr">
        <is>
          <t>C108</t>
        </is>
      </c>
      <c r="D25" s="14" t="inlineStr">
        <is>
          <t>P04</t>
        </is>
      </c>
      <c r="E25" s="14" t="inlineStr">
        <is>
          <t>Accessories</t>
        </is>
      </c>
      <c r="F25" s="14" t="inlineStr">
        <is>
          <t>North</t>
        </is>
      </c>
      <c r="G25" s="14" t="n">
        <v>1</v>
      </c>
      <c r="H25" s="41" t="n">
        <v>75</v>
      </c>
    </row>
    <row r="26"/>
    <row r="27"/>
    <row r="28"/>
    <row r="29"/>
    <row r="30"/>
    <row r="31"/>
    <row r="32"/>
    <row r="33"/>
    <row r="34"/>
    <row r="35"/>
    <row r="36"/>
    <row r="37"/>
    <row r="38"/>
    <row r="39"/>
    <row r="40"/>
  </sheetData>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tableParts count="1">
    <tablePart xmlns:r="http://schemas.openxmlformats.org/officeDocument/2006/relationships" r:id="rId1"/>
  </tableParts>
</worksheet>
</file>

<file path=xl/worksheets/sheet19.xml><?xml version="1.0" encoding="utf-8"?>
<worksheet xmlns="http://schemas.openxmlformats.org/spreadsheetml/2006/main">
  <sheetPr>
    <tabColor rgb="005B9BD5"/>
    <outlinePr summaryBelow="1" summaryRight="1"/>
    <pageSetUpPr fitToPage="1"/>
  </sheetPr>
  <dimension ref="A1:P4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14 — Key Integrity</t>
        </is>
      </c>
    </row>
    <row r="2">
      <c r="A2" s="9" t="inlineStr">
        <is>
          <t>Capability</t>
        </is>
      </c>
      <c r="B2" s="54" t="inlineStr">
        <is>
          <t>Validate keys before lookups or joins</t>
        </is>
      </c>
    </row>
    <row r="3">
      <c r="A3" s="9" t="inlineStr">
        <is>
          <t>Difficulty</t>
        </is>
      </c>
      <c r="B3" s="9" t="inlineStr">
        <is>
          <t>Intermediate</t>
        </is>
      </c>
    </row>
    <row r="5">
      <c r="A5" s="3" t="inlineStr">
        <is>
          <t>Scenario</t>
        </is>
      </c>
      <c r="B5" s="2" t="inlineStr">
        <is>
          <t>You have Sales plus Product and Customer reference tables. Do not perform a lookup yet. First verify that the intended keys are unique where expected and that Sales contains valid foreign keys.</t>
        </is>
      </c>
    </row>
    <row r="6"/>
    <row r="8">
      <c r="A8" s="3" t="inlineStr">
        <is>
          <t>Your task</t>
        </is>
      </c>
    </row>
    <row r="9" ht="34" customHeight="1">
      <c r="A9" s="11" t="inlineStr">
        <is>
          <t>1. Which fields should connect Sales to Products and Sales to Customers?</t>
        </is>
      </c>
      <c r="E9" s="12" t="inlineStr">
        <is>
          <t>Type your answer here</t>
        </is>
      </c>
    </row>
    <row r="10" ht="34" customHeight="1">
      <c r="A10" s="11" t="inlineStr">
        <is>
          <t>2. On which side of each relationship should the key be unique?</t>
        </is>
      </c>
      <c r="E10" s="12" t="inlineStr">
        <is>
          <t>Type your answer here</t>
        </is>
      </c>
    </row>
    <row r="11" ht="34" customHeight="1">
      <c r="A11" s="11" t="inlineStr">
        <is>
          <t>3. Do the reference tables actually satisfy that uniqueness requirement? Identify any duplicate keys.</t>
        </is>
      </c>
      <c r="E11" s="12" t="inlineStr">
        <is>
          <t>Type your answer here</t>
        </is>
      </c>
    </row>
    <row r="12" ht="34" customHeight="1">
      <c r="A12" s="11" t="inlineStr">
        <is>
          <t>4. Does every nonblank foreign key in Sales have a matching reference row? Identify exceptions.</t>
        </is>
      </c>
      <c r="E12" s="12" t="inlineStr">
        <is>
          <t>Type your answer here</t>
        </is>
      </c>
    </row>
    <row r="13" ht="34" customHeight="1">
      <c r="A13" s="11" t="inlineStr">
        <is>
          <t>5. Are any required join keys blank in Sales? Where?</t>
        </is>
      </c>
      <c r="E13" s="12" t="inlineStr">
        <is>
          <t>Type your answer here</t>
        </is>
      </c>
    </row>
    <row r="14" ht="34" customHeight="1">
      <c r="A14" s="11" t="inlineStr">
        <is>
          <t>6. What could go wrong if you perform lookups/joins before resolving these key issues?</t>
        </is>
      </c>
      <c r="E14" s="12" t="inlineStr">
        <is>
          <t>Type your answer here</t>
        </is>
      </c>
    </row>
    <row r="16">
      <c r="A16" s="13" t="n"/>
      <c r="B16" s="13" t="n"/>
      <c r="C16" s="13" t="n"/>
      <c r="D16" s="13" t="n"/>
      <c r="E16" s="13" t="n"/>
      <c r="F16" s="13" t="n"/>
      <c r="G16" s="13" t="n"/>
      <c r="I16" s="13" t="n"/>
      <c r="J16" s="13" t="n"/>
      <c r="K16" s="13" t="n"/>
      <c r="L16" s="13" t="n"/>
      <c r="N16" s="13" t="n"/>
      <c r="O16" s="13" t="n"/>
      <c r="P16" s="13" t="n"/>
    </row>
    <row r="17">
      <c r="A17" s="13" t="inlineStr">
        <is>
          <t>Line_ID</t>
        </is>
      </c>
      <c r="B17" s="13" t="inlineStr">
        <is>
          <t>Order_ID</t>
        </is>
      </c>
      <c r="C17" s="13" t="inlineStr">
        <is>
          <t>Customer_ID</t>
        </is>
      </c>
      <c r="D17" s="13" t="inlineStr">
        <is>
          <t>Product_ID</t>
        </is>
      </c>
      <c r="E17" s="13" t="inlineStr">
        <is>
          <t>Date</t>
        </is>
      </c>
      <c r="F17" s="13" t="inlineStr">
        <is>
          <t>Units</t>
        </is>
      </c>
      <c r="G17" s="13" t="inlineStr">
        <is>
          <t>Revenue</t>
        </is>
      </c>
      <c r="I17" s="13" t="inlineStr">
        <is>
          <t>Product_ID</t>
        </is>
      </c>
      <c r="J17" s="13" t="inlineStr">
        <is>
          <t>Product</t>
        </is>
      </c>
      <c r="K17" s="13" t="inlineStr">
        <is>
          <t>Category</t>
        </is>
      </c>
      <c r="L17" s="13" t="inlineStr">
        <is>
          <t>Standard_Price</t>
        </is>
      </c>
      <c r="N17" s="13" t="inlineStr">
        <is>
          <t>Customer_ID</t>
        </is>
      </c>
      <c r="O17" s="13" t="inlineStr">
        <is>
          <t>Customer_Name</t>
        </is>
      </c>
      <c r="P17" s="13" t="inlineStr">
        <is>
          <t>Segment</t>
        </is>
      </c>
    </row>
    <row r="18">
      <c r="A18" s="14" t="inlineStr">
        <is>
          <t>L001</t>
        </is>
      </c>
      <c r="B18" s="14" t="inlineStr">
        <is>
          <t>O1001</t>
        </is>
      </c>
      <c r="C18" s="14" t="inlineStr">
        <is>
          <t>C101</t>
        </is>
      </c>
      <c r="D18" s="14" t="inlineStr">
        <is>
          <t>P01</t>
        </is>
      </c>
      <c r="E18" s="40" t="n">
        <v>46204</v>
      </c>
      <c r="F18" s="14" t="n">
        <v>1</v>
      </c>
      <c r="G18" s="41" t="n">
        <v>1200</v>
      </c>
      <c r="I18" s="14" t="inlineStr">
        <is>
          <t>P01</t>
        </is>
      </c>
      <c r="J18" s="14" t="inlineStr">
        <is>
          <t>Laptop Pro</t>
        </is>
      </c>
      <c r="K18" s="14" t="inlineStr">
        <is>
          <t>Computers</t>
        </is>
      </c>
      <c r="L18" s="41" t="n">
        <v>1200</v>
      </c>
      <c r="N18" s="14" t="inlineStr">
        <is>
          <t>C101</t>
        </is>
      </c>
      <c r="O18" s="14" t="inlineStr">
        <is>
          <t>Orion Labs</t>
        </is>
      </c>
      <c r="P18" s="14" t="inlineStr">
        <is>
          <t>SMB</t>
        </is>
      </c>
    </row>
    <row r="19">
      <c r="A19" s="14" t="inlineStr">
        <is>
          <t>L002</t>
        </is>
      </c>
      <c r="B19" s="14" t="inlineStr">
        <is>
          <t>O1001</t>
        </is>
      </c>
      <c r="C19" s="14" t="inlineStr">
        <is>
          <t>C101</t>
        </is>
      </c>
      <c r="D19" s="14" t="inlineStr">
        <is>
          <t>P03</t>
        </is>
      </c>
      <c r="E19" s="40" t="n">
        <v>46204</v>
      </c>
      <c r="F19" s="14" t="n">
        <v>2</v>
      </c>
      <c r="G19" s="41" t="n">
        <v>60</v>
      </c>
      <c r="I19" s="14" t="inlineStr">
        <is>
          <t>P02</t>
        </is>
      </c>
      <c r="J19" s="14" t="inlineStr">
        <is>
          <t>Laptop Air</t>
        </is>
      </c>
      <c r="K19" s="14" t="inlineStr">
        <is>
          <t>Computers</t>
        </is>
      </c>
      <c r="L19" s="41" t="n">
        <v>950</v>
      </c>
      <c r="N19" s="14" t="inlineStr">
        <is>
          <t>C102</t>
        </is>
      </c>
      <c r="O19" s="14" t="inlineStr">
        <is>
          <t>Nova Retail</t>
        </is>
      </c>
      <c r="P19" s="14" t="inlineStr">
        <is>
          <t>Enterprise</t>
        </is>
      </c>
    </row>
    <row r="20">
      <c r="A20" s="14" t="inlineStr">
        <is>
          <t>L003</t>
        </is>
      </c>
      <c r="B20" s="14" t="inlineStr">
        <is>
          <t>O1002</t>
        </is>
      </c>
      <c r="C20" s="14" t="inlineStr">
        <is>
          <t>C102</t>
        </is>
      </c>
      <c r="D20" s="14" t="inlineStr">
        <is>
          <t>P02</t>
        </is>
      </c>
      <c r="E20" s="40" t="n">
        <v>46205</v>
      </c>
      <c r="F20" s="14" t="n">
        <v>1</v>
      </c>
      <c r="G20" s="41" t="n">
        <v>950</v>
      </c>
      <c r="I20" s="14" t="inlineStr">
        <is>
          <t>P03</t>
        </is>
      </c>
      <c r="J20" s="14" t="inlineStr">
        <is>
          <t>Mouse X</t>
        </is>
      </c>
      <c r="K20" s="14" t="inlineStr">
        <is>
          <t>Accessories</t>
        </is>
      </c>
      <c r="L20" s="41" t="n">
        <v>30</v>
      </c>
      <c r="N20" s="14" t="inlineStr">
        <is>
          <t>C103</t>
        </is>
      </c>
      <c r="O20" s="14" t="inlineStr">
        <is>
          <t>Blue Peak</t>
        </is>
      </c>
      <c r="P20" s="14" t="inlineStr">
        <is>
          <t>SMB</t>
        </is>
      </c>
    </row>
    <row r="21">
      <c r="A21" s="14" t="inlineStr">
        <is>
          <t>L004</t>
        </is>
      </c>
      <c r="B21" s="14" t="inlineStr">
        <is>
          <t>O1003</t>
        </is>
      </c>
      <c r="C21" s="14" t="inlineStr">
        <is>
          <t>C103</t>
        </is>
      </c>
      <c r="D21" s="14" t="inlineStr">
        <is>
          <t>P03</t>
        </is>
      </c>
      <c r="E21" s="40" t="n">
        <v>46205</v>
      </c>
      <c r="F21" s="14" t="n">
        <v>4</v>
      </c>
      <c r="G21" s="41" t="n">
        <v>120</v>
      </c>
      <c r="I21" s="14" t="inlineStr">
        <is>
          <t>P03</t>
        </is>
      </c>
      <c r="J21" s="14" t="inlineStr">
        <is>
          <t>Mouse X - Alternate</t>
        </is>
      </c>
      <c r="K21" s="14" t="inlineStr">
        <is>
          <t>Accessories</t>
        </is>
      </c>
      <c r="L21" s="41" t="n">
        <v>35</v>
      </c>
      <c r="N21" s="14" t="inlineStr">
        <is>
          <t>C103</t>
        </is>
      </c>
      <c r="O21" s="14" t="inlineStr">
        <is>
          <t>Blue Peak Holdings</t>
        </is>
      </c>
      <c r="P21" s="14" t="inlineStr">
        <is>
          <t>Enterprise</t>
        </is>
      </c>
    </row>
    <row r="22">
      <c r="A22" s="14" t="inlineStr">
        <is>
          <t>L005</t>
        </is>
      </c>
      <c r="B22" s="14" t="inlineStr">
        <is>
          <t>O1004</t>
        </is>
      </c>
      <c r="C22" s="14" t="inlineStr">
        <is>
          <t>C999</t>
        </is>
      </c>
      <c r="D22" s="14" t="inlineStr">
        <is>
          <t>P99</t>
        </is>
      </c>
      <c r="E22" s="40" t="n">
        <v>46206</v>
      </c>
      <c r="F22" s="14" t="n">
        <v>1</v>
      </c>
      <c r="G22" s="41" t="n">
        <v>75</v>
      </c>
      <c r="I22" s="14" t="inlineStr">
        <is>
          <t>P04</t>
        </is>
      </c>
      <c r="J22" s="14" t="inlineStr">
        <is>
          <t>Keyboard K</t>
        </is>
      </c>
      <c r="K22" s="14" t="inlineStr">
        <is>
          <t>Accessories</t>
        </is>
      </c>
      <c r="L22" s="41" t="n">
        <v>75</v>
      </c>
      <c r="N22" s="14" t="inlineStr">
        <is>
          <t>C104</t>
        </is>
      </c>
      <c r="O22" s="14" t="inlineStr">
        <is>
          <t>Vertex Works</t>
        </is>
      </c>
      <c r="P22" s="14" t="inlineStr">
        <is>
          <t>SMB</t>
        </is>
      </c>
    </row>
    <row r="23">
      <c r="A23" s="14" t="inlineStr">
        <is>
          <t>L006</t>
        </is>
      </c>
      <c r="B23" s="14" t="inlineStr">
        <is>
          <t>O1005</t>
        </is>
      </c>
      <c r="C23" s="14" t="inlineStr">
        <is>
          <t>C104</t>
        </is>
      </c>
      <c r="D23" s="14" t="n"/>
      <c r="E23" s="40" t="n">
        <v>46207</v>
      </c>
      <c r="F23" s="14" t="n">
        <v>2</v>
      </c>
      <c r="G23" s="41" t="n">
        <v>150</v>
      </c>
    </row>
    <row r="24"/>
    <row r="25"/>
    <row r="26"/>
    <row r="27"/>
    <row r="28"/>
    <row r="29"/>
    <row r="30"/>
    <row r="31"/>
    <row r="32"/>
    <row r="33"/>
    <row r="34"/>
    <row r="35"/>
    <row r="36"/>
    <row r="37"/>
    <row r="38"/>
    <row r="39"/>
    <row r="40"/>
  </sheetData>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0.xml><?xml version="1.0" encoding="utf-8"?>
<worksheet xmlns="http://schemas.openxmlformats.org/spreadsheetml/2006/main">
  <sheetPr>
    <tabColor rgb="005B9BD5"/>
    <outlinePr summaryBelow="1" summaryRight="1"/>
    <pageSetUpPr fitToPage="1"/>
  </sheetPr>
  <dimension ref="A1:Q4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28" customWidth="1" min="10" max="10"/>
    <col width="22" customWidth="1" min="11" max="11"/>
    <col width="18" customWidth="1" min="12" max="12"/>
    <col hidden="1" width="18" customWidth="1" min="13" max="13"/>
    <col width="22" customWidth="1" min="14" max="14"/>
    <col width="18" customWidth="1" min="15" max="15"/>
    <col width="18" customWidth="1" min="16" max="16"/>
    <col width="18" customWidth="1" min="17" max="17"/>
    <col width="18" customWidth="1" min="18" max="18"/>
  </cols>
  <sheetData>
    <row r="1" ht="28" customHeight="1">
      <c r="A1" s="8" t="inlineStr">
        <is>
          <t>Exercise 15 — Filters, Hidden Rows &amp; Hidden Columns</t>
        </is>
      </c>
    </row>
    <row r="2">
      <c r="A2" s="9" t="inlineStr">
        <is>
          <t>Capability</t>
        </is>
      </c>
      <c r="B2" s="54" t="inlineStr">
        <is>
          <t>Detect workbook visibility state before trusting what is on screen</t>
        </is>
      </c>
    </row>
    <row r="3">
      <c r="A3" s="9" t="inlineStr">
        <is>
          <t>Difficulty</t>
        </is>
      </c>
      <c r="B3" s="9" t="inlineStr">
        <is>
          <t>Intermediate</t>
        </is>
      </c>
    </row>
    <row r="5">
      <c r="A5" s="3" t="inlineStr">
        <is>
          <t>Scenario</t>
        </is>
      </c>
      <c r="B5" s="2" t="inlineStr">
        <is>
          <t>The source extract is on the right side of this sheet. Before counting or totaling anything, inspect filters, row visibility, column visibility, and whether the visible records represent the complete dataset.</t>
        </is>
      </c>
    </row>
    <row r="6"/>
    <row r="8">
      <c r="A8" s="3" t="inlineStr">
        <is>
          <t>Your task</t>
        </is>
      </c>
    </row>
    <row r="9" ht="34" customHeight="1">
      <c r="A9" s="11" t="inlineStr">
        <is>
          <t>1. Is an AutoFilter active on the source extract? Which field and criterion are involved?</t>
        </is>
      </c>
      <c r="E9" s="12" t="inlineStr">
        <is>
          <t>Type your answer here</t>
        </is>
      </c>
    </row>
    <row r="10" ht="34" customHeight="1">
      <c r="A10" s="11" t="inlineStr">
        <is>
          <t>2. How many data rows exist in the extract, and how many are currently visible?</t>
        </is>
      </c>
      <c r="E10" s="12" t="inlineStr">
        <is>
          <t>Type your answer here</t>
        </is>
      </c>
    </row>
    <row r="11" ht="34" customHeight="1">
      <c r="A11" s="11" t="inlineStr">
        <is>
          <t>3. Is any source column hidden? Which field is it?</t>
        </is>
      </c>
      <c r="E11" s="12" t="inlineStr">
        <is>
          <t>Type your answer here</t>
        </is>
      </c>
    </row>
    <row r="12" ht="34" customHeight="1">
      <c r="A12" s="11" t="inlineStr">
        <is>
          <t>4. Besides filtered rows, is any additional source row hidden/collapsed?</t>
        </is>
      </c>
      <c r="E12" s="12" t="inlineStr">
        <is>
          <t>Type your answer here</t>
        </is>
      </c>
    </row>
    <row r="13" ht="34" customHeight="1">
      <c r="A13" s="11" t="inlineStr">
        <is>
          <t>5. Why could analyzing only the visible cells produce a misleading answer?</t>
        </is>
      </c>
      <c r="E13" s="12" t="inlineStr">
        <is>
          <t>Type your answer here</t>
        </is>
      </c>
    </row>
    <row r="14" ht="34" customHeight="1">
      <c r="A14" s="11" t="inlineStr">
        <is>
          <t>6. What visibility checks should you complete before trusting counts or totals?</t>
        </is>
      </c>
      <c r="E14" s="12" t="inlineStr">
        <is>
          <t>Type your answer here</t>
        </is>
      </c>
    </row>
    <row r="16">
      <c r="A16" s="13" t="n"/>
      <c r="B16" s="13" t="n"/>
      <c r="C16" s="13" t="n"/>
      <c r="D16" s="13" t="n"/>
      <c r="E16" s="13" t="n"/>
      <c r="F16" s="13" t="n"/>
      <c r="G16" s="13" t="n"/>
      <c r="H16" s="13" t="n"/>
    </row>
    <row r="17">
      <c r="A17" s="14" t="n"/>
      <c r="B17" s="40" t="n"/>
      <c r="C17" s="14" t="n"/>
      <c r="D17" s="14" t="n"/>
      <c r="E17" s="14" t="n"/>
      <c r="F17" s="14" t="n"/>
      <c r="G17" s="14" t="n"/>
      <c r="H17" s="41" t="n"/>
      <c r="J17" s="13" t="inlineStr">
        <is>
          <t>Line_ID</t>
        </is>
      </c>
      <c r="K17" s="13" t="inlineStr">
        <is>
          <t>Date</t>
        </is>
      </c>
      <c r="L17" s="13" t="inlineStr">
        <is>
          <t>Customer_ID</t>
        </is>
      </c>
      <c r="M17" s="13" t="inlineStr">
        <is>
          <t>Product_ID</t>
        </is>
      </c>
      <c r="N17" s="13" t="inlineStr">
        <is>
          <t>Region</t>
        </is>
      </c>
      <c r="O17" s="13" t="inlineStr">
        <is>
          <t>Status</t>
        </is>
      </c>
      <c r="P17" s="13" t="inlineStr">
        <is>
          <t>Units</t>
        </is>
      </c>
      <c r="Q17" s="13" t="inlineStr">
        <is>
          <t>Revenue</t>
        </is>
      </c>
    </row>
    <row r="18">
      <c r="A18" s="14" t="n"/>
      <c r="B18" s="40" t="n"/>
      <c r="C18" s="14" t="n"/>
      <c r="D18" s="14" t="n"/>
      <c r="E18" s="14" t="n"/>
      <c r="F18" s="14" t="n"/>
      <c r="G18" s="14" t="n"/>
      <c r="H18" s="41" t="n"/>
      <c r="J18" s="14" t="inlineStr">
        <is>
          <t>L001</t>
        </is>
      </c>
      <c r="K18" s="40" t="n">
        <v>46204</v>
      </c>
      <c r="L18" s="14" t="inlineStr">
        <is>
          <t>C101</t>
        </is>
      </c>
      <c r="M18" s="14" t="inlineStr">
        <is>
          <t>P01</t>
        </is>
      </c>
      <c r="N18" s="14" t="inlineStr">
        <is>
          <t>North</t>
        </is>
      </c>
      <c r="O18" s="14" t="inlineStr">
        <is>
          <t>Active</t>
        </is>
      </c>
      <c r="P18" s="14" t="n">
        <v>1</v>
      </c>
      <c r="Q18" s="41" t="n">
        <v>1200</v>
      </c>
    </row>
    <row r="19">
      <c r="A19" s="14" t="n"/>
      <c r="B19" s="40" t="n"/>
      <c r="C19" s="14" t="n"/>
      <c r="D19" s="14" t="n"/>
      <c r="E19" s="14" t="n"/>
      <c r="F19" s="14" t="n"/>
      <c r="G19" s="14" t="n"/>
      <c r="H19" s="41" t="n"/>
      <c r="J19" s="14" t="inlineStr">
        <is>
          <t>L002</t>
        </is>
      </c>
      <c r="K19" s="40" t="n">
        <v>46204</v>
      </c>
      <c r="L19" s="14" t="inlineStr">
        <is>
          <t>C102</t>
        </is>
      </c>
      <c r="M19" s="14" t="inlineStr">
        <is>
          <t>P03</t>
        </is>
      </c>
      <c r="N19" s="14" t="inlineStr">
        <is>
          <t>South</t>
        </is>
      </c>
      <c r="O19" s="14" t="inlineStr">
        <is>
          <t>Active</t>
        </is>
      </c>
      <c r="P19" s="14" t="n">
        <v>2</v>
      </c>
      <c r="Q19" s="41" t="n">
        <v>60</v>
      </c>
    </row>
    <row r="20" hidden="1">
      <c r="A20" s="14" t="n"/>
      <c r="B20" s="40" t="n"/>
      <c r="C20" s="14" t="n"/>
      <c r="D20" s="14" t="n"/>
      <c r="E20" s="14" t="n"/>
      <c r="F20" s="14" t="n"/>
      <c r="G20" s="14" t="n"/>
      <c r="H20" s="41" t="n"/>
      <c r="J20" s="14" t="inlineStr">
        <is>
          <t>L003</t>
        </is>
      </c>
      <c r="K20" s="40" t="n">
        <v>46205</v>
      </c>
      <c r="L20" s="14" t="inlineStr">
        <is>
          <t>C103</t>
        </is>
      </c>
      <c r="M20" s="14" t="inlineStr">
        <is>
          <t>P02</t>
        </is>
      </c>
      <c r="N20" s="14" t="inlineStr">
        <is>
          <t>West</t>
        </is>
      </c>
      <c r="O20" s="14" t="inlineStr">
        <is>
          <t>Cancelled</t>
        </is>
      </c>
      <c r="P20" s="14" t="n">
        <v>1</v>
      </c>
      <c r="Q20" s="41" t="n">
        <v>950</v>
      </c>
    </row>
    <row r="21">
      <c r="A21" s="14" t="n"/>
      <c r="B21" s="40" t="n"/>
      <c r="C21" s="14" t="n"/>
      <c r="D21" s="14" t="n"/>
      <c r="E21" s="14" t="n"/>
      <c r="F21" s="14" t="n"/>
      <c r="G21" s="14" t="n"/>
      <c r="H21" s="41" t="n"/>
      <c r="J21" s="14" t="inlineStr">
        <is>
          <t>L004</t>
        </is>
      </c>
      <c r="K21" s="40" t="n">
        <v>46205</v>
      </c>
      <c r="L21" s="14" t="inlineStr">
        <is>
          <t>C104</t>
        </is>
      </c>
      <c r="M21" s="14" t="inlineStr">
        <is>
          <t>P03</t>
        </is>
      </c>
      <c r="N21" s="14" t="inlineStr">
        <is>
          <t>North</t>
        </is>
      </c>
      <c r="O21" s="14" t="inlineStr">
        <is>
          <t>Active</t>
        </is>
      </c>
      <c r="P21" s="14" t="n">
        <v>4</v>
      </c>
      <c r="Q21" s="41" t="n">
        <v>120</v>
      </c>
    </row>
    <row r="22" hidden="1" outlineLevel="1" collapsed="1">
      <c r="J22" s="14" t="inlineStr">
        <is>
          <t>L005</t>
        </is>
      </c>
      <c r="K22" s="40" t="n">
        <v>46206</v>
      </c>
      <c r="L22" s="14" t="inlineStr">
        <is>
          <t>C105</t>
        </is>
      </c>
      <c r="M22" s="14" t="inlineStr">
        <is>
          <t>P04</t>
        </is>
      </c>
      <c r="N22" s="14" t="inlineStr">
        <is>
          <t>East</t>
        </is>
      </c>
      <c r="O22" s="14" t="inlineStr">
        <is>
          <t>Active</t>
        </is>
      </c>
      <c r="P22" s="14" t="n">
        <v>1</v>
      </c>
      <c r="Q22" s="41" t="n">
        <v>75</v>
      </c>
    </row>
    <row r="23" hidden="1">
      <c r="J23" s="14" t="inlineStr">
        <is>
          <t>L006</t>
        </is>
      </c>
      <c r="K23" s="40" t="n">
        <v>46206</v>
      </c>
      <c r="L23" s="14" t="inlineStr">
        <is>
          <t>C106</t>
        </is>
      </c>
      <c r="M23" s="14" t="inlineStr">
        <is>
          <t>P01</t>
        </is>
      </c>
      <c r="N23" s="14" t="inlineStr">
        <is>
          <t>South</t>
        </is>
      </c>
      <c r="O23" s="14" t="inlineStr">
        <is>
          <t>Cancelled</t>
        </is>
      </c>
      <c r="P23" s="14" t="n">
        <v>1</v>
      </c>
      <c r="Q23" s="41" t="n">
        <v>1200</v>
      </c>
    </row>
    <row r="24">
      <c r="J24" s="14" t="inlineStr">
        <is>
          <t>L007</t>
        </is>
      </c>
      <c r="K24" s="40" t="n">
        <v>46207</v>
      </c>
      <c r="L24" s="14" t="inlineStr">
        <is>
          <t>C107</t>
        </is>
      </c>
      <c r="M24" s="14" t="inlineStr">
        <is>
          <t>P04</t>
        </is>
      </c>
      <c r="N24" s="14" t="inlineStr">
        <is>
          <t>North</t>
        </is>
      </c>
      <c r="O24" s="14" t="inlineStr">
        <is>
          <t>Active</t>
        </is>
      </c>
      <c r="P24" s="14" t="n">
        <v>2</v>
      </c>
      <c r="Q24" s="41" t="n">
        <v>150</v>
      </c>
    </row>
    <row r="25"/>
    <row r="26"/>
    <row r="27"/>
    <row r="28"/>
    <row r="29"/>
    <row r="30"/>
    <row r="31"/>
    <row r="32"/>
    <row r="33"/>
    <row r="34"/>
    <row r="35"/>
    <row r="36"/>
    <row r="37"/>
    <row r="38"/>
    <row r="39"/>
    <row r="40"/>
  </sheetData>
  <autoFilter ref="J17:Q24">
    <filterColumn colId="5" hiddenButton="0" showButton="1">
      <filters blank="0">
        <filter val="Active"/>
      </filters>
    </filterColumn>
  </autoFilter>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worksheet>
</file>

<file path=xl/worksheets/sheet21.xml><?xml version="1.0" encoding="utf-8"?>
<worksheet xmlns="http://schemas.openxmlformats.org/spreadsheetml/2006/main">
  <sheetPr>
    <tabColor rgb="005B9BD5"/>
    <outlinePr summaryBelow="1" summaryRight="1"/>
    <pageSetUpPr fitToPage="1"/>
  </sheetPr>
  <dimension ref="A1:H4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16 — Data Types vs Display Format</t>
        </is>
      </c>
    </row>
    <row r="2">
      <c r="A2" s="9" t="inlineStr">
        <is>
          <t>Capability</t>
        </is>
      </c>
      <c r="B2" s="54" t="inlineStr">
        <is>
          <t>Distinguish underlying values from how Excel displays them</t>
        </is>
      </c>
    </row>
    <row r="3">
      <c r="A3" s="9" t="inlineStr">
        <is>
          <t>Difficulty</t>
        </is>
      </c>
      <c r="B3" s="9" t="inlineStr">
        <is>
          <t>Intermediate</t>
        </is>
      </c>
    </row>
    <row r="5">
      <c r="A5" s="3" t="inlineStr">
        <is>
          <t>Scenario</t>
        </is>
      </c>
      <c r="B5" s="2" t="inlineStr">
        <is>
          <t>Several cells look similar on screen but are stored differently. Do not normalize them yet. Inspect the underlying values and formats so you can predict how sorting, filtering, formulas, and joins may behave.</t>
        </is>
      </c>
    </row>
    <row r="6"/>
    <row r="8">
      <c r="A8" s="3" t="inlineStr">
        <is>
          <t>Your task</t>
        </is>
      </c>
    </row>
    <row r="9" ht="34" customHeight="1">
      <c r="A9" s="11" t="inlineStr">
        <is>
          <t>1. Which Date_Value cells are true Excel dates/numbers, and which are text?</t>
        </is>
      </c>
      <c r="E9" s="12" t="inlineStr">
        <is>
          <t>Type your answer here</t>
        </is>
      </c>
    </row>
    <row r="10" ht="34" customHeight="1">
      <c r="A10" s="11" t="inlineStr">
        <is>
          <t>2. Which Revenue_Value cells are numeric and which are numbers stored as text?</t>
        </is>
      </c>
      <c r="E10" s="12" t="inlineStr">
        <is>
          <t>Type your answer here</t>
        </is>
      </c>
    </row>
    <row r="11" ht="34" customHeight="1">
      <c r="A11" s="11" t="inlineStr">
        <is>
          <t>3. Which Discount values only look like percentages because of text or cell formatting?</t>
        </is>
      </c>
      <c r="E11" s="12" t="inlineStr">
        <is>
          <t>Type your answer here</t>
        </is>
      </c>
    </row>
    <row r="12" ht="34" customHeight="1">
      <c r="A12" s="11" t="inlineStr">
        <is>
          <t>4. Which identifier/code could lose leading zeros if its underlying type changes?</t>
        </is>
      </c>
      <c r="E12" s="12" t="inlineStr">
        <is>
          <t>Type your answer here</t>
        </is>
      </c>
    </row>
    <row r="13" ht="34" customHeight="1">
      <c r="A13" s="11" t="inlineStr">
        <is>
          <t>5. Which Units or Flag values are stored inconsistently across rows?</t>
        </is>
      </c>
      <c r="E13" s="12" t="inlineStr">
        <is>
          <t>Type your answer here</t>
        </is>
      </c>
    </row>
    <row r="14" ht="34" customHeight="1">
      <c r="A14" s="11" t="inlineStr">
        <is>
          <t>6. What analysis risks do these type inconsistencies create?</t>
        </is>
      </c>
      <c r="E14" s="12" t="inlineStr">
        <is>
          <t>Type your answer here</t>
        </is>
      </c>
    </row>
    <row r="16">
      <c r="A16" s="13" t="n"/>
      <c r="B16" s="13" t="n"/>
      <c r="C16" s="13" t="n"/>
      <c r="D16" s="13" t="n"/>
      <c r="E16" s="13" t="n"/>
      <c r="F16" s="13" t="n"/>
      <c r="G16" s="13" t="n"/>
      <c r="H16" s="13" t="n"/>
    </row>
    <row r="17">
      <c r="A17" s="13" t="inlineStr">
        <is>
          <t>Record_ID</t>
        </is>
      </c>
      <c r="B17" s="13" t="inlineStr">
        <is>
          <t>Date_Value</t>
        </is>
      </c>
      <c r="C17" s="13" t="inlineStr">
        <is>
          <t>Revenue_Value</t>
        </is>
      </c>
      <c r="D17" s="13" t="inlineStr">
        <is>
          <t>Discount</t>
        </is>
      </c>
      <c r="E17" s="13" t="inlineStr">
        <is>
          <t>Product_Code</t>
        </is>
      </c>
      <c r="F17" s="13" t="inlineStr">
        <is>
          <t>Units</t>
        </is>
      </c>
      <c r="G17" s="13" t="inlineStr">
        <is>
          <t>Flag</t>
        </is>
      </c>
      <c r="H17" s="13" t="inlineStr">
        <is>
          <t>Notes</t>
        </is>
      </c>
    </row>
    <row r="18">
      <c r="A18" s="14" t="inlineStr">
        <is>
          <t>00125</t>
        </is>
      </c>
      <c r="B18" s="40" t="n">
        <v>46204</v>
      </c>
      <c r="C18" s="41" t="n">
        <v>1200</v>
      </c>
      <c r="D18" s="20" t="n">
        <v>0.15</v>
      </c>
      <c r="E18" s="14" t="inlineStr">
        <is>
          <t>0007</t>
        </is>
      </c>
      <c r="F18" s="14" t="n">
        <v>2</v>
      </c>
      <c r="G18" s="14" t="b">
        <v>1</v>
      </c>
      <c r="H18" s="41" t="inlineStr">
        <is>
          <t>Consistent row</t>
        </is>
      </c>
    </row>
    <row r="19">
      <c r="A19" s="14" t="inlineStr">
        <is>
          <t>00126</t>
        </is>
      </c>
      <c r="B19" s="40" t="inlineStr">
        <is>
          <t>2026-07-02</t>
        </is>
      </c>
      <c r="C19" s="14" t="inlineStr">
        <is>
          <t>950</t>
        </is>
      </c>
      <c r="D19" s="14" t="inlineStr">
        <is>
          <t>15%</t>
        </is>
      </c>
      <c r="E19" s="14" t="inlineStr">
        <is>
          <t>0008</t>
        </is>
      </c>
      <c r="F19" s="14" t="inlineStr">
        <is>
          <t>3</t>
        </is>
      </c>
      <c r="G19" s="14" t="inlineStr">
        <is>
          <t>TRUE</t>
        </is>
      </c>
      <c r="H19" s="41" t="inlineStr">
        <is>
          <t>Values stored as text</t>
        </is>
      </c>
    </row>
    <row r="20">
      <c r="A20" s="14" t="inlineStr">
        <is>
          <t>00127</t>
        </is>
      </c>
      <c r="B20" s="40" t="n">
        <v>46206</v>
      </c>
      <c r="C20" s="14" t="inlineStr">
        <is>
          <t>$1,200</t>
        </is>
      </c>
      <c r="D20" s="20" t="n">
        <v>0.1</v>
      </c>
      <c r="E20" s="55" t="n">
        <v>9</v>
      </c>
      <c r="F20" s="14" t="n">
        <v>1</v>
      </c>
      <c r="G20" s="14" t="b">
        <v>0</v>
      </c>
      <c r="H20" s="41" t="inlineStr">
        <is>
          <t>Code only looks padded</t>
        </is>
      </c>
    </row>
    <row r="21">
      <c r="A21" s="56" t="n">
        <v>128</v>
      </c>
      <c r="B21" s="40" t="n">
        <v>46207</v>
      </c>
      <c r="C21" s="41" t="n">
        <v>75</v>
      </c>
      <c r="D21" s="20" t="n">
        <v>0.05</v>
      </c>
      <c r="E21" s="14" t="inlineStr">
        <is>
          <t>0010</t>
        </is>
      </c>
      <c r="F21" s="14" t="n">
        <v>4</v>
      </c>
      <c r="G21" s="14" t="b">
        <v>1</v>
      </c>
      <c r="H21" s="41" t="inlineStr">
        <is>
          <t>ID only looks padded</t>
        </is>
      </c>
    </row>
    <row r="22">
      <c r="A22" s="14" t="inlineStr">
        <is>
          <t>00129</t>
        </is>
      </c>
      <c r="B22" s="40" t="n">
        <v>46205</v>
      </c>
      <c r="C22" s="41" t="n">
        <v>30</v>
      </c>
      <c r="D22" s="20" t="n">
        <v>0.2</v>
      </c>
      <c r="E22" s="14" t="inlineStr">
        <is>
          <t>0011</t>
        </is>
      </c>
      <c r="F22" s="14" t="n">
        <v>2</v>
      </c>
      <c r="G22" s="14" t="b">
        <v>1</v>
      </c>
      <c r="H22" s="41" t="inlineStr">
        <is>
          <t>Date serial not formatted</t>
        </is>
      </c>
    </row>
    <row r="23"/>
    <row r="24"/>
    <row r="25"/>
    <row r="26"/>
    <row r="27"/>
    <row r="28"/>
    <row r="29"/>
    <row r="30"/>
    <row r="31"/>
    <row r="32"/>
    <row r="33"/>
    <row r="34"/>
    <row r="35"/>
    <row r="36"/>
    <row r="37"/>
    <row r="38"/>
    <row r="39"/>
    <row r="40"/>
  </sheetData>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tableParts count="1">
    <tablePart xmlns:r="http://schemas.openxmlformats.org/officeDocument/2006/relationships" r:id="rId1"/>
  </tableParts>
</worksheet>
</file>

<file path=xl/worksheets/sheet22.xml><?xml version="1.0" encoding="utf-8"?>
<worksheet xmlns="http://schemas.openxmlformats.org/spreadsheetml/2006/main">
  <sheetPr>
    <tabColor rgb="005B9BD5"/>
    <outlinePr summaryBelow="1" summaryRight="1"/>
    <pageSetUpPr fitToPage="1"/>
  </sheetPr>
  <dimension ref="A1:H40"/>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17 — Workbook Health &amp; Calculation Clues</t>
        </is>
      </c>
    </row>
    <row r="2">
      <c r="A2" s="9" t="inlineStr">
        <is>
          <t>Capability</t>
        </is>
      </c>
      <c r="B2" s="54" t="inlineStr">
        <is>
          <t>Assess whether existing outputs are trustworthy before editing</t>
        </is>
      </c>
    </row>
    <row r="3">
      <c r="A3" s="9" t="inlineStr">
        <is>
          <t>Difficulty</t>
        </is>
      </c>
      <c r="B3" s="9" t="inlineStr">
        <is>
          <t>Intermediate → Challenge</t>
        </is>
      </c>
    </row>
    <row r="5">
      <c r="A5" s="3" t="inlineStr">
        <is>
          <t>Scenario</t>
        </is>
      </c>
      <c r="B5" s="2" t="inlineStr">
        <is>
          <t>You inherit a small source table and a KPI block from another analyst. Some clues suggest incomplete ranges, stale state, and a previously broken dependency. Do not fix anything yet—diagnose what deserves review.</t>
        </is>
      </c>
    </row>
    <row r="6"/>
    <row r="8">
      <c r="A8" s="3" t="inlineStr">
        <is>
          <t>Your task</t>
        </is>
      </c>
    </row>
    <row r="9" ht="34" customHeight="1">
      <c r="A9" s="11" t="inlineStr">
        <is>
          <t>1. Which KPI formula appears to have incomplete source coverage?</t>
        </is>
      </c>
      <c r="E9" s="12" t="inlineStr">
        <is>
          <t>Type your answer here</t>
        </is>
      </c>
    </row>
    <row r="10" ht="34" customHeight="1">
      <c r="A10" s="11" t="inlineStr">
        <is>
          <t>2. Which KPI values are formulas, and which are static/hardcoded evidence?</t>
        </is>
      </c>
      <c r="E10" s="12" t="inlineStr">
        <is>
          <t>Type your answer here</t>
        </is>
      </c>
    </row>
    <row r="11" ht="34" customHeight="1">
      <c r="A11" s="11" t="inlineStr">
        <is>
          <t>3. Which recency clue should make you question whether the workbook is up to date?</t>
        </is>
      </c>
      <c r="E11" s="12" t="inlineStr">
        <is>
          <t>Type your answer here</t>
        </is>
      </c>
    </row>
    <row r="12" ht="34" customHeight="1">
      <c r="A12" s="11" t="inlineStr">
        <is>
          <t>4. Which Excel calculation setting should you verify before trusting displayed formula results?</t>
        </is>
      </c>
      <c r="E12" s="12" t="inlineStr">
        <is>
          <t>Type your answer here</t>
        </is>
      </c>
    </row>
    <row r="13" ht="34" customHeight="1">
      <c r="A13" s="11" t="inlineStr">
        <is>
          <t>5. Which recorded formula clue indicates a broken-reference risk in the inherited model?</t>
        </is>
      </c>
      <c r="E13" s="12" t="inlineStr">
        <is>
          <t>Type your answer here</t>
        </is>
      </c>
    </row>
    <row r="14" ht="34" customHeight="1">
      <c r="A14" s="11" t="inlineStr">
        <is>
          <t>6. In what order would you validate workbook health before changing formulas?</t>
        </is>
      </c>
      <c r="E14" s="12" t="inlineStr">
        <is>
          <t>Type your answer here</t>
        </is>
      </c>
    </row>
    <row r="16">
      <c r="A16" s="13" t="n"/>
      <c r="B16" s="13" t="n"/>
      <c r="C16" s="13" t="n"/>
      <c r="D16" s="13" t="n"/>
      <c r="E16" s="13" t="n"/>
      <c r="F16" s="13" t="n"/>
      <c r="G16" s="13" t="n"/>
      <c r="H16" s="13" t="n"/>
    </row>
    <row r="17">
      <c r="A17" s="13" t="inlineStr">
        <is>
          <t>Date</t>
        </is>
      </c>
      <c r="B17" s="13" t="inlineStr">
        <is>
          <t>Order_ID</t>
        </is>
      </c>
      <c r="C17" s="13" t="inlineStr">
        <is>
          <t>Revenue</t>
        </is>
      </c>
      <c r="D17" s="13" t="inlineStr">
        <is>
          <t>Status</t>
        </is>
      </c>
      <c r="E17" s="14" t="n"/>
      <c r="F17" s="13" t="inlineStr">
        <is>
          <t>KPI / Clue</t>
        </is>
      </c>
      <c r="G17" s="13" t="inlineStr">
        <is>
          <t>Value</t>
        </is>
      </c>
      <c r="H17" s="13" t="inlineStr">
        <is>
          <t>Evidence</t>
        </is>
      </c>
    </row>
    <row r="18">
      <c r="A18" s="40" t="n">
        <v>46204</v>
      </c>
      <c r="B18" s="40" t="inlineStr">
        <is>
          <t>O1001</t>
        </is>
      </c>
      <c r="C18" s="41" t="n">
        <v>1200</v>
      </c>
      <c r="D18" s="14" t="inlineStr">
        <is>
          <t>OK</t>
        </is>
      </c>
      <c r="E18" s="14" t="n"/>
      <c r="F18" s="14" t="inlineStr">
        <is>
          <t>Total Revenue</t>
        </is>
      </c>
      <c r="G18" s="42">
        <f>SUM(C18:C21)</f>
        <v/>
      </c>
      <c r="H18" s="14" t="inlineStr">
        <is>
          <t>Formula stops before the final source row</t>
        </is>
      </c>
    </row>
    <row r="19">
      <c r="A19" s="40" t="n">
        <v>46204</v>
      </c>
      <c r="B19" s="40" t="inlineStr">
        <is>
          <t>O1002</t>
        </is>
      </c>
      <c r="C19" s="41" t="n">
        <v>60</v>
      </c>
      <c r="D19" s="14" t="inlineStr">
        <is>
          <t>OK</t>
        </is>
      </c>
      <c r="E19" s="14" t="n"/>
      <c r="F19" s="14" t="inlineStr">
        <is>
          <t>Order Lines</t>
        </is>
      </c>
      <c r="G19" s="19">
        <f>COUNTA(B18:B22)</f>
        <v/>
      </c>
      <c r="H19" s="14" t="inlineStr">
        <is>
          <t>Formula</t>
        </is>
      </c>
    </row>
    <row r="20">
      <c r="A20" s="40" t="n">
        <v>46205</v>
      </c>
      <c r="B20" s="40" t="inlineStr">
        <is>
          <t>O1003</t>
        </is>
      </c>
      <c r="C20" s="41" t="n">
        <v>950</v>
      </c>
      <c r="D20" s="14" t="inlineStr">
        <is>
          <t>Review</t>
        </is>
      </c>
      <c r="E20" s="14" t="n"/>
      <c r="F20" s="14" t="inlineStr">
        <is>
          <t>Review Rate</t>
        </is>
      </c>
      <c r="G20" s="48">
        <f>COUNTIF(D18:D22,"Review")/COUNTA(D18:D22)</f>
        <v/>
      </c>
      <c r="H20" s="14" t="inlineStr">
        <is>
          <t>Formula</t>
        </is>
      </c>
    </row>
    <row r="21">
      <c r="A21" s="40" t="n">
        <v>46205</v>
      </c>
      <c r="B21" s="40" t="inlineStr">
        <is>
          <t>O1004</t>
        </is>
      </c>
      <c r="C21" s="41" t="n">
        <v>120</v>
      </c>
      <c r="D21" s="14" t="inlineStr">
        <is>
          <t>OK</t>
        </is>
      </c>
      <c r="E21" s="14" t="n"/>
      <c r="F21" s="14" t="inlineStr">
        <is>
          <t>Last Refresh</t>
        </is>
      </c>
      <c r="G21" s="57" t="n">
        <v>46203</v>
      </c>
      <c r="H21" s="14" t="inlineStr">
        <is>
          <t>Static timestamp</t>
        </is>
      </c>
    </row>
    <row r="22">
      <c r="A22" s="40" t="n">
        <v>46206</v>
      </c>
      <c r="B22" s="40" t="inlineStr">
        <is>
          <t>O1005</t>
        </is>
      </c>
      <c r="C22" s="41" t="n">
        <v>75</v>
      </c>
      <c r="D22" s="14" t="inlineStr">
        <is>
          <t>Review</t>
        </is>
      </c>
      <c r="F22" s="14" t="inlineStr">
        <is>
          <t>Calculation Mode</t>
        </is>
      </c>
      <c r="G22" s="40" t="inlineStr">
        <is>
          <t>Manual</t>
        </is>
      </c>
      <c r="H22" s="14" t="inlineStr">
        <is>
          <t>Recorded in handoff note — verify in Excel</t>
        </is>
      </c>
    </row>
    <row r="23">
      <c r="F23" s="14" t="inlineStr">
        <is>
          <t>Broken formula clue</t>
        </is>
      </c>
      <c r="G23" s="40" t="inlineStr">
        <is>
          <t>Formula: =SUM(#REF!)</t>
        </is>
      </c>
      <c r="H23" s="14" t="inlineStr">
        <is>
          <t>Portable evidence from prior version; not a live error</t>
        </is>
      </c>
    </row>
    <row r="24"/>
    <row r="25"/>
    <row r="26"/>
    <row r="27"/>
    <row r="28"/>
    <row r="29"/>
    <row r="30"/>
    <row r="31"/>
    <row r="32"/>
    <row r="33"/>
    <row r="34"/>
    <row r="35"/>
    <row r="36"/>
    <row r="37"/>
    <row r="38"/>
    <row r="39"/>
    <row r="40"/>
  </sheetData>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tableParts count="1">
    <tablePart xmlns:r="http://schemas.openxmlformats.org/officeDocument/2006/relationships" r:id="rId1"/>
  </tableParts>
</worksheet>
</file>

<file path=xl/worksheets/sheet23.xml><?xml version="1.0" encoding="utf-8"?>
<worksheet xmlns="http://schemas.openxmlformats.org/spreadsheetml/2006/main">
  <sheetPr>
    <tabColor rgb="005B9BD5"/>
    <outlinePr summaryBelow="1" summaryRight="1"/>
    <pageSetUpPr fitToPage="1"/>
  </sheetPr>
  <dimension ref="A1:R45"/>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18 — Validation &amp; Reconciliation</t>
        </is>
      </c>
    </row>
    <row r="2">
      <c r="A2" s="9" t="inlineStr">
        <is>
          <t>Capability</t>
        </is>
      </c>
      <c r="B2" s="54" t="inlineStr">
        <is>
          <t>Prove that an output is trustworthy before presenting it</t>
        </is>
      </c>
    </row>
    <row r="3">
      <c r="A3" s="9" t="inlineStr">
        <is>
          <t>Difficulty</t>
        </is>
      </c>
      <c r="B3" s="9" t="inlineStr">
        <is>
          <t>Challenge</t>
        </is>
      </c>
    </row>
    <row r="5">
      <c r="A5" s="3" t="inlineStr">
        <is>
          <t>Scenario</t>
        </is>
      </c>
      <c r="B5" s="2" t="inlineStr">
        <is>
          <t>A report already contains a transaction table, a category summary, and a KPI block. Do not redesign it. Your task is to decide which outputs should reconcile and whether the existing logic is robust enough to trust.</t>
        </is>
      </c>
    </row>
    <row r="6"/>
    <row r="8">
      <c r="A8" s="3" t="inlineStr">
        <is>
          <t>Your task</t>
        </is>
      </c>
    </row>
    <row r="9" ht="34" customHeight="1">
      <c r="A9" s="11" t="inlineStr">
        <is>
          <t>1. Which revenue totals should reconcile to each other across the source, category summary, and KPI block?</t>
        </is>
      </c>
      <c r="E9" s="12" t="inlineStr">
        <is>
          <t>Type your answer here</t>
        </is>
      </c>
    </row>
    <row r="10" ht="34" customHeight="1">
      <c r="A10" s="11" t="inlineStr">
        <is>
          <t>2. Does the Reported Revenue formula cover every source row? What would you inspect?</t>
        </is>
      </c>
      <c r="E10" s="12" t="inlineStr">
        <is>
          <t>Type your answer here</t>
        </is>
      </c>
    </row>
    <row r="11" ht="34" customHeight="1">
      <c r="A11" s="11" t="inlineStr">
        <is>
          <t>3. How can category subtotals serve as an independent cross-check of total revenue?</t>
        </is>
      </c>
      <c r="E11" s="12" t="inlineStr">
        <is>
          <t>Type your answer here</t>
        </is>
      </c>
    </row>
    <row r="12" ht="34" customHeight="1">
      <c r="A12" s="11" t="inlineStr">
        <is>
          <t>4. At order-line grain, how would you validate the distinct order count rather than trusting a hardcoded KPI?</t>
        </is>
      </c>
      <c r="E12" s="12" t="inlineStr">
        <is>
          <t>Type your answer here</t>
        </is>
      </c>
    </row>
    <row r="13" ht="34" customHeight="1">
      <c r="A13" s="11" t="inlineStr">
        <is>
          <t>5. If a new source row is appended, which formulas/ranges are most at risk of not expanding?</t>
        </is>
      </c>
      <c r="E13" s="12" t="inlineStr">
        <is>
          <t>Type your answer here</t>
        </is>
      </c>
    </row>
    <row r="14" ht="34" customHeight="1">
      <c r="A14" s="11" t="inlineStr">
        <is>
          <t>6. Write a concise pre-delivery validation checklist for this report.</t>
        </is>
      </c>
      <c r="E14" s="12" t="inlineStr">
        <is>
          <t>Type your answer here</t>
        </is>
      </c>
    </row>
    <row r="16">
      <c r="A16" s="13" t="n"/>
      <c r="B16" s="13" t="n"/>
      <c r="C16" s="13" t="n"/>
      <c r="D16" s="13" t="n"/>
      <c r="E16" s="13" t="n"/>
      <c r="F16" s="13" t="n"/>
      <c r="G16" s="13" t="n"/>
      <c r="H16" s="13" t="n"/>
    </row>
    <row r="17">
      <c r="A17" s="13" t="inlineStr">
        <is>
          <t>Line_ID</t>
        </is>
      </c>
      <c r="B17" s="13" t="inlineStr">
        <is>
          <t>Order_ID</t>
        </is>
      </c>
      <c r="C17" s="13" t="inlineStr">
        <is>
          <t>Category</t>
        </is>
      </c>
      <c r="D17" s="13" t="inlineStr">
        <is>
          <t>Region</t>
        </is>
      </c>
      <c r="E17" s="13" t="inlineStr">
        <is>
          <t>Units</t>
        </is>
      </c>
      <c r="F17" s="13" t="inlineStr">
        <is>
          <t>Unit_Price</t>
        </is>
      </c>
      <c r="G17" s="13" t="inlineStr">
        <is>
          <t>Revenue</t>
        </is>
      </c>
      <c r="H17" s="41" t="n"/>
      <c r="J17" s="13" t="inlineStr">
        <is>
          <t>Category</t>
        </is>
      </c>
      <c r="K17" s="13" t="inlineStr">
        <is>
          <t>Revenue</t>
        </is>
      </c>
      <c r="M17" s="13" t="inlineStr">
        <is>
          <t>KPI</t>
        </is>
      </c>
      <c r="N17" s="13" t="inlineStr">
        <is>
          <t>Value</t>
        </is>
      </c>
    </row>
    <row r="18">
      <c r="A18" s="14" t="inlineStr">
        <is>
          <t>L001</t>
        </is>
      </c>
      <c r="B18" s="40" t="inlineStr">
        <is>
          <t>O1001</t>
        </is>
      </c>
      <c r="C18" s="14" t="inlineStr">
        <is>
          <t>Computers</t>
        </is>
      </c>
      <c r="D18" s="14" t="inlineStr">
        <is>
          <t>North</t>
        </is>
      </c>
      <c r="E18" s="14" t="n">
        <v>1</v>
      </c>
      <c r="F18" s="41" t="n">
        <v>1200</v>
      </c>
      <c r="G18" s="47">
        <f>E18*F18</f>
        <v/>
      </c>
      <c r="H18" s="41" t="n"/>
      <c r="J18" s="14" t="inlineStr">
        <is>
          <t>Computers</t>
        </is>
      </c>
      <c r="K18" s="47">
        <f>SUMIF($C$18:$C$24,J18,$G$18:$G$24)</f>
        <v/>
      </c>
      <c r="M18" s="14" t="inlineStr">
        <is>
          <t>Reported Revenue</t>
        </is>
      </c>
      <c r="N18" s="47">
        <f>SUM(G18:G23)</f>
        <v/>
      </c>
    </row>
    <row r="19">
      <c r="A19" s="14" t="inlineStr">
        <is>
          <t>L002</t>
        </is>
      </c>
      <c r="B19" s="40" t="inlineStr">
        <is>
          <t>O1001</t>
        </is>
      </c>
      <c r="C19" s="14" t="inlineStr">
        <is>
          <t>Accessories</t>
        </is>
      </c>
      <c r="D19" s="14" t="inlineStr">
        <is>
          <t>North</t>
        </is>
      </c>
      <c r="E19" s="14" t="n">
        <v>2</v>
      </c>
      <c r="F19" s="41" t="n">
        <v>30</v>
      </c>
      <c r="G19" s="47">
        <f>E19*F19</f>
        <v/>
      </c>
      <c r="H19" s="41" t="n"/>
      <c r="J19" s="14" t="inlineStr">
        <is>
          <t>Accessories</t>
        </is>
      </c>
      <c r="K19" s="47">
        <f>SUMIF($C$18:$C$24,J19,$G$18:$G$24)</f>
        <v/>
      </c>
      <c r="M19" s="14" t="inlineStr">
        <is>
          <t>Order Lines</t>
        </is>
      </c>
      <c r="N19" s="43">
        <f>COUNTA(A18:A24)</f>
        <v/>
      </c>
    </row>
    <row r="20">
      <c r="A20" s="14" t="inlineStr">
        <is>
          <t>L003</t>
        </is>
      </c>
      <c r="B20" s="40" t="inlineStr">
        <is>
          <t>O1002</t>
        </is>
      </c>
      <c r="C20" s="14" t="inlineStr">
        <is>
          <t>Computers</t>
        </is>
      </c>
      <c r="D20" s="14" t="inlineStr">
        <is>
          <t>West</t>
        </is>
      </c>
      <c r="E20" s="14" t="n">
        <v>1</v>
      </c>
      <c r="F20" s="41" t="n">
        <v>950</v>
      </c>
      <c r="G20" s="47">
        <f>E20*F20</f>
        <v/>
      </c>
      <c r="H20" s="41" t="n"/>
      <c r="J20" s="14" t="inlineStr">
        <is>
          <t>Total</t>
        </is>
      </c>
      <c r="K20" s="47">
        <f>SUM(K18:K19)</f>
        <v/>
      </c>
      <c r="M20" s="14" t="inlineStr">
        <is>
          <t>Distinct Orders</t>
        </is>
      </c>
      <c r="N20" s="24" t="n">
        <v>6</v>
      </c>
    </row>
    <row r="21">
      <c r="A21" s="14" t="inlineStr">
        <is>
          <t>L004</t>
        </is>
      </c>
      <c r="B21" s="40" t="inlineStr">
        <is>
          <t>O1003</t>
        </is>
      </c>
      <c r="C21" s="14" t="inlineStr">
        <is>
          <t>Accessories</t>
        </is>
      </c>
      <c r="D21" s="14" t="inlineStr">
        <is>
          <t>South</t>
        </is>
      </c>
      <c r="E21" s="14" t="n">
        <v>4</v>
      </c>
      <c r="F21" s="41" t="n">
        <v>30</v>
      </c>
      <c r="G21" s="47">
        <f>E21*F21</f>
        <v/>
      </c>
      <c r="H21" s="41" t="n"/>
      <c r="M21" s="14" t="inlineStr">
        <is>
          <t>Source Rows</t>
        </is>
      </c>
      <c r="N21" s="43">
        <f>ROWS(A18:A24)</f>
        <v/>
      </c>
    </row>
    <row r="22">
      <c r="A22" s="14" t="inlineStr">
        <is>
          <t>L005</t>
        </is>
      </c>
      <c r="B22" s="40" t="inlineStr">
        <is>
          <t>O1004</t>
        </is>
      </c>
      <c r="C22" s="14" t="inlineStr">
        <is>
          <t>Accessories</t>
        </is>
      </c>
      <c r="D22" s="14" t="inlineStr">
        <is>
          <t>East</t>
        </is>
      </c>
      <c r="E22" s="14" t="n">
        <v>2</v>
      </c>
      <c r="F22" s="41" t="n">
        <v>75</v>
      </c>
      <c r="G22" s="47">
        <f>E22*F22</f>
        <v/>
      </c>
    </row>
    <row r="23">
      <c r="A23" s="14" t="inlineStr">
        <is>
          <t>L006</t>
        </is>
      </c>
      <c r="B23" s="40" t="inlineStr">
        <is>
          <t>O1005</t>
        </is>
      </c>
      <c r="C23" s="14" t="inlineStr">
        <is>
          <t>Computers</t>
        </is>
      </c>
      <c r="D23" s="14" t="inlineStr">
        <is>
          <t>South</t>
        </is>
      </c>
      <c r="E23" s="14" t="n">
        <v>1</v>
      </c>
      <c r="F23" s="41" t="n">
        <v>1200</v>
      </c>
      <c r="G23" s="47">
        <f>E23*F23</f>
        <v/>
      </c>
    </row>
    <row r="24">
      <c r="A24" s="14" t="inlineStr">
        <is>
          <t>L007</t>
        </is>
      </c>
      <c r="B24" s="40" t="inlineStr">
        <is>
          <t>O1006</t>
        </is>
      </c>
      <c r="C24" s="14" t="inlineStr">
        <is>
          <t>Accessories</t>
        </is>
      </c>
      <c r="D24" s="14" t="inlineStr">
        <is>
          <t>North</t>
        </is>
      </c>
      <c r="E24" s="14" t="n">
        <v>1</v>
      </c>
      <c r="F24" s="41" t="n">
        <v>75</v>
      </c>
      <c r="G24" s="47">
        <f>E24*F24</f>
        <v/>
      </c>
    </row>
    <row r="25"/>
    <row r="26"/>
    <row r="27"/>
    <row r="28"/>
    <row r="29"/>
    <row r="30"/>
    <row r="31"/>
    <row r="32"/>
    <row r="33"/>
    <row r="34"/>
    <row r="35"/>
    <row r="36"/>
    <row r="37"/>
    <row r="38"/>
    <row r="39"/>
    <row r="40"/>
    <row r="41"/>
    <row r="42"/>
    <row r="43"/>
    <row r="44"/>
    <row r="45"/>
  </sheetData>
  <mergeCells count="16">
    <mergeCell ref="E14:H14"/>
    <mergeCell ref="A9:D9"/>
    <mergeCell ref="E9:H9"/>
    <mergeCell ref="A11:D11"/>
    <mergeCell ref="A12:D12"/>
    <mergeCell ref="E10:H10"/>
    <mergeCell ref="E12:H12"/>
    <mergeCell ref="E11:H11"/>
    <mergeCell ref="B2:H2"/>
    <mergeCell ref="A13:D13"/>
    <mergeCell ref="A1:H1"/>
    <mergeCell ref="A10:D10"/>
    <mergeCell ref="A8:H8"/>
    <mergeCell ref="B5:H6"/>
    <mergeCell ref="A14:D14"/>
    <mergeCell ref="E13:H13"/>
  </mergeCells>
  <pageMargins left="0.25" right="0.25" top="0.5" bottom="0.5" header="0.5" footer="0.5"/>
  <pageSetup fitToWidth="1"/>
  <tableParts count="1">
    <tablePart xmlns:r="http://schemas.openxmlformats.org/officeDocument/2006/relationships" r:id="rId1"/>
  </tableParts>
</worksheet>
</file>

<file path=xl/worksheets/sheet24.xml><?xml version="1.0" encoding="utf-8"?>
<worksheet xmlns="http://schemas.openxmlformats.org/spreadsheetml/2006/main">
  <sheetPr>
    <tabColor rgb="004472C4"/>
    <outlinePr summaryBelow="1" summaryRight="1"/>
    <pageSetUpPr fitToPage="1"/>
  </sheetPr>
  <dimension ref="A1:R27"/>
  <sheetViews>
    <sheetView showGridLines="0" workbookViewId="0">
      <pane ySplit="8" topLeftCell="A9"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22" customWidth="1" min="5" max="5"/>
    <col width="18" customWidth="1" min="6" max="6"/>
    <col width="18" customWidth="1" min="7" max="7"/>
    <col width="18" customWidth="1" min="8" max="8"/>
    <col width="16" customWidth="1" min="9" max="9"/>
    <col hidden="1"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8" customHeight="1">
      <c r="A1" s="8" t="inlineStr">
        <is>
          <t>Exercise 19 — Full Discovery Challenge</t>
        </is>
      </c>
    </row>
    <row r="2">
      <c r="A2" s="9" t="inlineStr">
        <is>
          <t>Capability</t>
        </is>
      </c>
      <c r="B2" s="54" t="inlineStr">
        <is>
          <t>Build and validate a mental map of an unfamiliar workbook case</t>
        </is>
      </c>
    </row>
    <row r="3">
      <c r="A3" s="9" t="inlineStr">
        <is>
          <t>Difficulty</t>
        </is>
      </c>
      <c r="B3" s="9" t="inlineStr">
        <is>
          <t>Challenge</t>
        </is>
      </c>
    </row>
    <row r="5">
      <c r="A5" s="3" t="inlineStr">
        <is>
          <t>Scenario</t>
        </is>
      </c>
      <c r="B5" s="2" t="inlineStr">
        <is>
          <t>You inherited this workbook section from another analyst. It contains source-like data, reference data, formulas, a Defined Name, a hidden assumption, hidden worksheet state, and several data-quality/key risks. Do not fix anything. Build and validate a discovery map first.</t>
        </is>
      </c>
    </row>
    <row r="6"/>
    <row r="8">
      <c r="A8" s="3" t="inlineStr">
        <is>
          <t>Your task</t>
        </is>
      </c>
    </row>
    <row r="9" ht="34" customHeight="1">
      <c r="A9" s="11" t="inlineStr">
        <is>
          <t>1. What is the grain of the Sales table, and what is its row-level identifier?</t>
        </is>
      </c>
      <c r="E9" s="12" t="inlineStr">
        <is>
          <t>Type your answer here</t>
        </is>
      </c>
    </row>
    <row r="10" ht="34" customHeight="1">
      <c r="A10" s="11" t="inlineStr">
        <is>
          <t>2. Which fields are source inputs and which are derived calculations?</t>
        </is>
      </c>
      <c r="E10" s="12" t="inlineStr">
        <is>
          <t>Type your answer here</t>
        </is>
      </c>
    </row>
    <row r="11" ht="34" customHeight="1">
      <c r="A11" s="11" t="inlineStr">
        <is>
          <t>3. What key connects Sales to Products, and does the reference side satisfy uniqueness? Are any Sales keys unmatched?</t>
        </is>
      </c>
      <c r="E11" s="12" t="inlineStr">
        <is>
          <t>Type your answer here</t>
        </is>
      </c>
    </row>
    <row r="12" ht="34" customHeight="1">
      <c r="A12" s="11" t="inlineStr">
        <is>
          <t>4. Perform a quick quality scan. Which blanks, type inconsistencies, or label inconsistencies could affect analysis?</t>
        </is>
      </c>
      <c r="E12" s="12" t="inlineStr">
        <is>
          <t>Type your answer here</t>
        </is>
      </c>
    </row>
    <row r="13" ht="34" customHeight="1">
      <c r="A13" s="11" t="inlineStr">
        <is>
          <t>5. Are any source rows or columns hidden, and is there evidence of an active filter?</t>
        </is>
      </c>
      <c r="E13" s="12" t="inlineStr">
        <is>
          <t>Type your answer here</t>
        </is>
      </c>
    </row>
    <row r="14" ht="34" customHeight="1">
      <c r="A14" s="11" t="inlineStr">
        <is>
          <t>6. Find the Defined Name beginning with FD_. What does it refer to?</t>
        </is>
      </c>
      <c r="E14" s="12" t="inlineStr">
        <is>
          <t>Type your answer here</t>
        </is>
      </c>
    </row>
    <row r="15" ht="34" customHeight="1">
      <c r="A15" s="11" t="inlineStr">
        <is>
          <t>7. Which formula depends on a hidden worksheet, and what assumption is stored there?</t>
        </is>
      </c>
      <c r="E15" s="12" t="inlineStr">
        <is>
          <t>Type your answer here</t>
        </is>
      </c>
    </row>
    <row r="16" ht="34" customHeight="1">
      <c r="A16" s="11" t="inlineStr">
        <is>
          <t>8. For “Which category had the highest net revenue?”, what fields, relationships, calculations, and blockers must be considered?</t>
        </is>
      </c>
      <c r="E16" s="12" t="inlineStr">
        <is>
          <t>Type your answer here</t>
        </is>
      </c>
    </row>
    <row r="17" ht="34" customHeight="1">
      <c r="A17" s="11" t="inlineStr">
        <is>
          <t>9. Before trusting the KPI block, which totals/counts would you reconcile back to source?</t>
        </is>
      </c>
      <c r="E17" s="12" t="inlineStr">
        <is>
          <t>Type your answer here</t>
        </is>
      </c>
    </row>
    <row r="18" ht="34" customHeight="1">
      <c r="A18" s="11" t="inlineStr">
        <is>
          <t>10. Write a 6-line mental map: source objects, grain, keys, derived logic, dependencies, and quality/visibility risks.</t>
        </is>
      </c>
      <c r="E18" s="12" t="inlineStr">
        <is>
          <t>Type your answer here</t>
        </is>
      </c>
    </row>
    <row r="19"/>
    <row r="20">
      <c r="P20" s="13" t="inlineStr">
        <is>
          <t>KPI</t>
        </is>
      </c>
      <c r="Q20" s="13" t="inlineStr">
        <is>
          <t>Value</t>
        </is>
      </c>
      <c r="R20" s="13" t="inlineStr">
        <is>
          <t>Comment</t>
        </is>
      </c>
    </row>
    <row r="21">
      <c r="A21" s="13" t="inlineStr">
        <is>
          <t>Line_ID</t>
        </is>
      </c>
      <c r="B21" s="13" t="inlineStr">
        <is>
          <t>Order_ID</t>
        </is>
      </c>
      <c r="C21" s="13" t="inlineStr">
        <is>
          <t>Date</t>
        </is>
      </c>
      <c r="D21" s="13" t="inlineStr">
        <is>
          <t>Customer_ID</t>
        </is>
      </c>
      <c r="E21" s="13" t="inlineStr">
        <is>
          <t>Product_ID</t>
        </is>
      </c>
      <c r="F21" s="13" t="inlineStr">
        <is>
          <t>Region</t>
        </is>
      </c>
      <c r="G21" s="13" t="inlineStr">
        <is>
          <t>Units</t>
        </is>
      </c>
      <c r="H21" s="13" t="inlineStr">
        <is>
          <t>Unit_Price</t>
        </is>
      </c>
      <c r="I21" s="13" t="inlineStr">
        <is>
          <t>Net_Revenue</t>
        </is>
      </c>
      <c r="J21" s="13" t="inlineStr">
        <is>
          <t>Source_System</t>
        </is>
      </c>
      <c r="K21" s="13" t="inlineStr">
        <is>
          <t>Product_ID</t>
        </is>
      </c>
      <c r="L21" s="13" t="inlineStr">
        <is>
          <t>Product</t>
        </is>
      </c>
      <c r="M21" s="13" t="inlineStr">
        <is>
          <t>Category</t>
        </is>
      </c>
      <c r="N21" s="13" t="inlineStr">
        <is>
          <t>Unit_Cost</t>
        </is>
      </c>
      <c r="P21" t="inlineStr">
        <is>
          <t>Net Revenue</t>
        </is>
      </c>
      <c r="Q21" s="47">
        <f>SUM(I22:I27)</f>
        <v/>
      </c>
      <c r="R21" t="inlineStr">
        <is>
          <t>Derived output</t>
        </is>
      </c>
    </row>
    <row r="22">
      <c r="A22" s="14" t="inlineStr">
        <is>
          <t>FL001</t>
        </is>
      </c>
      <c r="B22" s="14" t="inlineStr">
        <is>
          <t>FO1001</t>
        </is>
      </c>
      <c r="C22" s="40" t="n">
        <v>46204</v>
      </c>
      <c r="D22" s="14" t="inlineStr">
        <is>
          <t>C101</t>
        </is>
      </c>
      <c r="E22" s="14" t="inlineStr">
        <is>
          <t>P01</t>
        </is>
      </c>
      <c r="F22" s="14" t="inlineStr">
        <is>
          <t>North</t>
        </is>
      </c>
      <c r="G22" s="14" t="n">
        <v>1</v>
      </c>
      <c r="H22" s="41" t="n">
        <v>1200</v>
      </c>
      <c r="I22" s="47">
        <f>G22*H22*(1-'19_FD_ASSUMPTIONS'!$B$2)</f>
        <v/>
      </c>
      <c r="J22" s="14" t="inlineStr">
        <is>
          <t>CRM</t>
        </is>
      </c>
      <c r="K22" s="14" t="inlineStr">
        <is>
          <t>P01</t>
        </is>
      </c>
      <c r="L22" s="14" t="inlineStr">
        <is>
          <t>Laptop Pro</t>
        </is>
      </c>
      <c r="M22" s="14" t="inlineStr">
        <is>
          <t>Computers</t>
        </is>
      </c>
      <c r="N22" s="41" t="n">
        <v>800</v>
      </c>
      <c r="P22" t="inlineStr">
        <is>
          <t>Order Lines</t>
        </is>
      </c>
      <c r="Q22" s="36">
        <f>COUNTA(A22:A27)</f>
        <v/>
      </c>
      <c r="R22" t="inlineStr">
        <is>
          <t>Derived output</t>
        </is>
      </c>
    </row>
    <row r="23">
      <c r="A23" s="14" t="inlineStr">
        <is>
          <t>FL002</t>
        </is>
      </c>
      <c r="B23" s="14" t="inlineStr">
        <is>
          <t>FO1001</t>
        </is>
      </c>
      <c r="C23" s="40" t="n">
        <v>46204</v>
      </c>
      <c r="D23" s="14" t="inlineStr">
        <is>
          <t>C101</t>
        </is>
      </c>
      <c r="E23" s="14" t="inlineStr">
        <is>
          <t>P03</t>
        </is>
      </c>
      <c r="F23" s="14" t="inlineStr">
        <is>
          <t>North</t>
        </is>
      </c>
      <c r="G23" s="14" t="n">
        <v>2</v>
      </c>
      <c r="H23" s="41" t="n">
        <v>30</v>
      </c>
      <c r="I23" s="47">
        <f>G23*H23*(1-'19_FD_ASSUMPTIONS'!$B$2)</f>
        <v/>
      </c>
      <c r="J23" s="14" t="inlineStr">
        <is>
          <t>WEB</t>
        </is>
      </c>
      <c r="K23" s="14" t="inlineStr">
        <is>
          <t>P02</t>
        </is>
      </c>
      <c r="L23" s="14" t="inlineStr">
        <is>
          <t>Laptop Air</t>
        </is>
      </c>
      <c r="M23" s="14" t="inlineStr">
        <is>
          <t>Computers</t>
        </is>
      </c>
      <c r="N23" s="41" t="n">
        <v>650</v>
      </c>
      <c r="P23" t="inlineStr">
        <is>
          <t>Review Target</t>
        </is>
      </c>
      <c r="Q23" s="37">
        <f>FD_Review_Target</f>
        <v/>
      </c>
      <c r="R23" t="inlineStr">
        <is>
          <t>Named dependency</t>
        </is>
      </c>
    </row>
    <row r="24">
      <c r="A24" s="14" t="inlineStr">
        <is>
          <t>FL003</t>
        </is>
      </c>
      <c r="B24" s="14" t="inlineStr">
        <is>
          <t>FO1002</t>
        </is>
      </c>
      <c r="C24" s="40" t="n">
        <v>46205</v>
      </c>
      <c r="D24" s="14" t="inlineStr">
        <is>
          <t>C102</t>
        </is>
      </c>
      <c r="E24" s="14" t="inlineStr">
        <is>
          <t>P02</t>
        </is>
      </c>
      <c r="F24" s="14" t="inlineStr">
        <is>
          <t>West</t>
        </is>
      </c>
      <c r="G24" s="14" t="n">
        <v>1</v>
      </c>
      <c r="H24" s="41" t="n">
        <v>950</v>
      </c>
      <c r="I24" s="47">
        <f>G24*H24*(1-'19_FD_ASSUMPTIONS'!$B$2)</f>
        <v/>
      </c>
      <c r="J24" s="14" t="inlineStr">
        <is>
          <t>CRM</t>
        </is>
      </c>
      <c r="K24" s="14" t="inlineStr">
        <is>
          <t>P03</t>
        </is>
      </c>
      <c r="L24" s="14" t="inlineStr">
        <is>
          <t>Mouse X</t>
        </is>
      </c>
      <c r="M24" s="14" t="inlineStr">
        <is>
          <t>Accessories</t>
        </is>
      </c>
      <c r="N24" s="41" t="n">
        <v>12</v>
      </c>
    </row>
    <row r="25">
      <c r="A25" s="14" t="inlineStr">
        <is>
          <t>FL004</t>
        </is>
      </c>
      <c r="B25" s="14" t="inlineStr">
        <is>
          <t>FO1003</t>
        </is>
      </c>
      <c r="C25" s="40" t="n">
        <v>46205</v>
      </c>
      <c r="D25" s="14" t="inlineStr">
        <is>
          <t>C103</t>
        </is>
      </c>
      <c r="E25" s="14" t="inlineStr">
        <is>
          <t>P03</t>
        </is>
      </c>
      <c r="F25" s="14" t="inlineStr">
        <is>
          <t>South</t>
        </is>
      </c>
      <c r="G25" s="14" t="n">
        <v>4</v>
      </c>
      <c r="H25" s="41" t="n">
        <v>30</v>
      </c>
      <c r="I25" s="47">
        <f>G25*H25*(1-'19_FD_ASSUMPTIONS'!$B$2)</f>
        <v/>
      </c>
      <c r="J25" s="14" t="inlineStr">
        <is>
          <t>WEB</t>
        </is>
      </c>
      <c r="K25" s="14" t="inlineStr">
        <is>
          <t>P04</t>
        </is>
      </c>
      <c r="L25" s="14" t="inlineStr">
        <is>
          <t>Keyboard K</t>
        </is>
      </c>
      <c r="M25" s="14" t="inlineStr">
        <is>
          <t>Accessories</t>
        </is>
      </c>
      <c r="N25" s="41" t="n">
        <v>35</v>
      </c>
    </row>
    <row r="26">
      <c r="A26" s="14" t="inlineStr">
        <is>
          <t>FL005</t>
        </is>
      </c>
      <c r="B26" s="14" t="inlineStr">
        <is>
          <t>FO1004</t>
        </is>
      </c>
      <c r="C26" s="40" t="n">
        <v>46206</v>
      </c>
      <c r="D26" s="14" t="n"/>
      <c r="E26" s="14" t="inlineStr">
        <is>
          <t>P04</t>
        </is>
      </c>
      <c r="F26" s="14" t="inlineStr">
        <is>
          <t>East</t>
        </is>
      </c>
      <c r="G26" s="14" t="inlineStr">
        <is>
          <t>2</t>
        </is>
      </c>
      <c r="H26" s="41" t="n">
        <v>75</v>
      </c>
      <c r="I26" s="47">
        <f>G26*H26*(1-'19_FD_ASSUMPTIONS'!$B$2)</f>
        <v/>
      </c>
      <c r="J26" s="14" t="inlineStr">
        <is>
          <t>CRM</t>
        </is>
      </c>
      <c r="K26" t="inlineStr">
        <is>
          <t>P03</t>
        </is>
      </c>
      <c r="L26" t="inlineStr">
        <is>
          <t>Mouse X - Alternate</t>
        </is>
      </c>
      <c r="M26" t="inlineStr">
        <is>
          <t>Accessories</t>
        </is>
      </c>
      <c r="N26" s="41" t="n">
        <v>14</v>
      </c>
      <c r="P26" s="38" t="inlineStr">
        <is>
          <t>Control value</t>
        </is>
      </c>
      <c r="Q26" s="24" t="n">
        <v>0.9</v>
      </c>
    </row>
    <row r="27" hidden="1">
      <c r="A27" s="14" t="inlineStr">
        <is>
          <t>FL006</t>
        </is>
      </c>
      <c r="B27" s="14" t="inlineStr">
        <is>
          <t>FO1005</t>
        </is>
      </c>
      <c r="C27" s="40" t="n">
        <v>46207</v>
      </c>
      <c r="D27" s="14" t="inlineStr">
        <is>
          <t>C105</t>
        </is>
      </c>
      <c r="E27" s="14" t="inlineStr">
        <is>
          <t>P99</t>
        </is>
      </c>
      <c r="F27" s="14" t="inlineStr">
        <is>
          <t xml:space="preserve">South </t>
        </is>
      </c>
      <c r="G27" s="14" t="n">
        <v>1</v>
      </c>
      <c r="H27" s="41" t="n">
        <v>1200</v>
      </c>
      <c r="I27" s="47">
        <f>G27*H27*(1-'19_FD_ASSUMPTIONS'!$B$2)</f>
        <v/>
      </c>
      <c r="J27" s="14" t="inlineStr">
        <is>
          <t>PARTNER</t>
        </is>
      </c>
    </row>
  </sheetData>
  <mergeCells count="24">
    <mergeCell ref="A17:D17"/>
    <mergeCell ref="E16:H16"/>
    <mergeCell ref="A10:D10"/>
    <mergeCell ref="A13:D13"/>
    <mergeCell ref="A9:D9"/>
    <mergeCell ref="E18:H18"/>
    <mergeCell ref="E12:H12"/>
    <mergeCell ref="A15:D15"/>
    <mergeCell ref="A11:D11"/>
    <mergeCell ref="E14:H14"/>
    <mergeCell ref="E17:H17"/>
    <mergeCell ref="B2:H2"/>
    <mergeCell ref="A16:D16"/>
    <mergeCell ref="E10:H10"/>
    <mergeCell ref="A8:H8"/>
    <mergeCell ref="B5:H6"/>
    <mergeCell ref="E13:H13"/>
    <mergeCell ref="A18:D18"/>
    <mergeCell ref="E9:H9"/>
    <mergeCell ref="A12:D12"/>
    <mergeCell ref="E15:H15"/>
    <mergeCell ref="A1:R1"/>
    <mergeCell ref="E11:H11"/>
    <mergeCell ref="A14:D14"/>
  </mergeCells>
  <pageMargins left="0.25" right="0.25" top="0.5" bottom="0.5" header="0.5" footer="0.5"/>
  <pageSetup fitToWidth="1"/>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tabColor rgb="00A5A5A5"/>
    <outlinePr summaryBelow="1" summaryRight="1"/>
    <pageSetUpPr fitToPage="1"/>
  </sheetPr>
  <dimension ref="A1:B3"/>
  <sheetViews>
    <sheetView workbookViewId="0">
      <selection activeCell="A1" sqref="A1"/>
    </sheetView>
  </sheetViews>
  <sheetFormatPr baseColWidth="8" defaultRowHeight="15"/>
  <sheetData>
    <row r="1">
      <c r="A1" s="13" t="inlineStr">
        <is>
          <t>Assumption</t>
        </is>
      </c>
      <c r="B1" s="13" t="inlineStr">
        <is>
          <t>Value</t>
        </is>
      </c>
    </row>
    <row r="2">
      <c r="A2" t="inlineStr">
        <is>
          <t>Standard_Discount</t>
        </is>
      </c>
      <c r="B2" s="39" t="n">
        <v>0.05</v>
      </c>
    </row>
    <row r="3">
      <c r="A3" t="inlineStr">
        <is>
          <t>Owner</t>
        </is>
      </c>
      <c r="B3" t="inlineStr">
        <is>
          <t>Finance 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Excel Workbook &amp; Data Discovery Practice</dc:title>
  <dc:subject xmlns:dc="http://purl.org/dc/elements/1.1/">Data Analyst Excel take-home preparation</dc:subject>
  <dcterms:created xmlns:dcterms="http://purl.org/dc/terms/" xmlns:xsi="http://www.w3.org/2001/XMLSchema-instance" xsi:type="dcterms:W3CDTF">2026-08-16T17:12:43Z</dcterms:created>
  <dcterms:modified xmlns:dcterms="http://purl.org/dc/terms/" xmlns:xsi="http://www.w3.org/2001/XMLSchema-instance" xsi:type="dcterms:W3CDTF">2026-08-16T19:46:43Z</dcterms:modified>
</cp:coreProperties>
</file>